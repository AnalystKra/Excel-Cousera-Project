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166925"/>
  <xr:revisionPtr revIDLastSave="0" documentId="8_{66B3C612-B249-4AC6-894B-0970EB06E8BF}" xr6:coauthVersionLast="47" xr6:coauthVersionMax="47" xr10:uidLastSave="{00000000-0000-0000-0000-000000000000}"/>
  <bookViews>
    <workbookView xWindow="-120" yWindow="-120" windowWidth="20730" windowHeight="11160" firstSheet="2" activeTab="8" xr2:uid="{F1F31DDD-98AC-4891-9777-AA2D93241542}"/>
  </bookViews>
  <sheets>
    <sheet name="Cover Sheet" sheetId="10" r:id="rId1"/>
    <sheet name="All Sales" sheetId="1" r:id="rId2"/>
    <sheet name="North" sheetId="2" r:id="rId3"/>
    <sheet name="South" sheetId="3" r:id="rId4"/>
    <sheet name="East" sheetId="4" r:id="rId5"/>
    <sheet name="West" sheetId="5" r:id="rId6"/>
    <sheet name="Chart" sheetId="7" r:id="rId7"/>
    <sheet name="Copy of all Sales" sheetId="6" r:id="rId8"/>
    <sheet name="Sales Analysis" sheetId="8" r:id="rId9"/>
    <sheet name="New Staff" sheetId="9" r:id="rId10"/>
  </sheets>
  <externalReferences>
    <externalReference r:id="rId11"/>
  </externalReferences>
  <definedNames>
    <definedName name="_xlnm._FilterDatabase" localSheetId="1" hidden="1">'All Sales'!$A$1:$I$390</definedName>
    <definedName name="_xlnm._FilterDatabase" localSheetId="7" hidden="1">'Copy of all Sales'!$A$1:$I$390</definedName>
    <definedName name="bev">[1]Sheet2!$H$7:$H$12</definedName>
    <definedName name="bg">[1]Sheet2!$H$2:$H$6</definedName>
    <definedName name="candy">[1]Sheet2!$H$13:$H$17</definedName>
    <definedName name="cmeat">[1]Sheet2!$H$22:$H$23</definedName>
    <definedName name="Co_List">[1]Sheet2!$A$2:$A$27</definedName>
    <definedName name="commission" localSheetId="7">'Copy of all Sales'!$L$8:$L$8</definedName>
    <definedName name="commission">'All Sales'!$L$8:$L$8</definedName>
    <definedName name="condiment">[1]Sheet2!$H$24:$H$27</definedName>
    <definedName name="dairyp">[1]Sheet2!$H$28:$H$32</definedName>
    <definedName name="e">[1]Sheet3!$D$6:$D$10</definedName>
    <definedName name="fandv">[1]Sheet2!$H$18:$H$21</definedName>
    <definedName name="grains">[1]Sheet2!$H$37:$H$40</definedName>
    <definedName name="jams">[1]Sheet2!$H$41:$H$43</definedName>
    <definedName name="n">[1]Sheet3!$E$6:$E$10</definedName>
    <definedName name="ne">[1]Sheet3!$G$6:$G$10</definedName>
    <definedName name="nuts">[1]Sheet2!$H$33:$H$36</definedName>
    <definedName name="nw">[1]Sheet3!$F$6:$F$10</definedName>
    <definedName name="oil">[1]Sheet2!$H$44:$H$45</definedName>
    <definedName name="pasta">[1]Sheet2!$H$46:$H$50</definedName>
    <definedName name="prod_cat">[1]Sheet2!$L$2:$L$16</definedName>
    <definedName name="pt">[1]Sheet2!$E$2:$E$4</definedName>
    <definedName name="s">[1]Sheet3!$H$6:$H$10</definedName>
    <definedName name="se">[1]Sheet3!$J$6:$J$10</definedName>
    <definedName name="Slicer_Employee">#N/A</definedName>
    <definedName name="Slicer_Sales_Area">#N/A</definedName>
    <definedName name="soup">[1]Sheet2!$H$55:$H$58</definedName>
    <definedName name="sw">[1]Sheet3!$I$6:$I$10</definedName>
    <definedName name="team">[1]Sheet2!$C$2:$C$9</definedName>
    <definedName name="w">[1]Sheet3!$C$6:$C$10</definedName>
  </definedNames>
  <calcPr calcId="191028"/>
  <pivotCaches>
    <pivotCache cacheId="89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9" l="1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" i="9"/>
  <c r="I391" i="6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F391" i="6"/>
  <c r="I390" i="6" a="1"/>
  <c r="I390" i="6" s="1"/>
  <c r="I389" i="6" a="1"/>
  <c r="I389" i="6" s="1"/>
  <c r="I388" i="6" a="1"/>
  <c r="I388" i="6" s="1"/>
  <c r="I387" i="6" a="1"/>
  <c r="I387" i="6" s="1"/>
  <c r="I386" i="6" a="1"/>
  <c r="I386" i="6" s="1"/>
  <c r="I385" i="6" a="1"/>
  <c r="I385" i="6" s="1"/>
  <c r="I384" i="6" a="1"/>
  <c r="I384" i="6" s="1"/>
  <c r="I383" i="6" a="1"/>
  <c r="I383" i="6" s="1"/>
  <c r="I382" i="6" a="1"/>
  <c r="I382" i="6" s="1"/>
  <c r="I381" i="6" a="1"/>
  <c r="I381" i="6" s="1"/>
  <c r="I380" i="6" a="1"/>
  <c r="I380" i="6" s="1"/>
  <c r="I379" i="6" a="1"/>
  <c r="I379" i="6" s="1"/>
  <c r="I378" i="6" a="1"/>
  <c r="I378" i="6" s="1"/>
  <c r="I377" i="6" a="1"/>
  <c r="I377" i="6" s="1"/>
  <c r="I376" i="6" a="1"/>
  <c r="I376" i="6" s="1"/>
  <c r="I375" i="6" a="1"/>
  <c r="I375" i="6" s="1"/>
  <c r="I374" i="6" a="1"/>
  <c r="I374" i="6" s="1"/>
  <c r="I373" i="6" a="1"/>
  <c r="I373" i="6" s="1"/>
  <c r="I372" i="6" a="1"/>
  <c r="I372" i="6" s="1"/>
  <c r="I371" i="6" a="1"/>
  <c r="I371" i="6" s="1"/>
  <c r="I370" i="6" a="1"/>
  <c r="I370" i="6" s="1"/>
  <c r="I369" i="6" a="1"/>
  <c r="I369" i="6" s="1"/>
  <c r="I368" i="6" a="1"/>
  <c r="I368" i="6" s="1"/>
  <c r="I367" i="6" a="1"/>
  <c r="I367" i="6" s="1"/>
  <c r="I366" i="6" a="1"/>
  <c r="I366" i="6" s="1"/>
  <c r="I365" i="6" a="1"/>
  <c r="I365" i="6" s="1"/>
  <c r="I364" i="6" a="1"/>
  <c r="I364" i="6" s="1"/>
  <c r="I363" i="6" a="1"/>
  <c r="I363" i="6" s="1"/>
  <c r="I362" i="6" a="1"/>
  <c r="I362" i="6" s="1"/>
  <c r="I361" i="6" a="1"/>
  <c r="I361" i="6" s="1"/>
  <c r="I360" i="6" a="1"/>
  <c r="I360" i="6" s="1"/>
  <c r="I359" i="6" a="1"/>
  <c r="I359" i="6" s="1"/>
  <c r="I358" i="6" a="1"/>
  <c r="I358" i="6" s="1"/>
  <c r="I357" i="6" a="1"/>
  <c r="I357" i="6" s="1"/>
  <c r="I356" i="6" a="1"/>
  <c r="I356" i="6" s="1"/>
  <c r="I355" i="6" a="1"/>
  <c r="I355" i="6" s="1"/>
  <c r="I354" i="6" a="1"/>
  <c r="I354" i="6" s="1"/>
  <c r="I353" i="6" a="1"/>
  <c r="I353" i="6" s="1"/>
  <c r="I352" i="6" a="1"/>
  <c r="I352" i="6" s="1"/>
  <c r="I351" i="6" a="1"/>
  <c r="I351" i="6" s="1"/>
  <c r="I350" i="6" a="1"/>
  <c r="I350" i="6" s="1"/>
  <c r="I349" i="6" a="1"/>
  <c r="I349" i="6" s="1"/>
  <c r="I348" i="6" a="1"/>
  <c r="I348" i="6" s="1"/>
  <c r="I347" i="6" a="1"/>
  <c r="I347" i="6" s="1"/>
  <c r="I346" i="6" a="1"/>
  <c r="I346" i="6" s="1"/>
  <c r="I345" i="6" a="1"/>
  <c r="I345" i="6" s="1"/>
  <c r="I344" i="6" a="1"/>
  <c r="I344" i="6" s="1"/>
  <c r="I343" i="6" a="1"/>
  <c r="I343" i="6" s="1"/>
  <c r="I342" i="6" a="1"/>
  <c r="I342" i="6" s="1"/>
  <c r="I341" i="6" a="1"/>
  <c r="I341" i="6" s="1"/>
  <c r="I340" i="6" a="1"/>
  <c r="I340" i="6" s="1"/>
  <c r="I339" i="6" a="1"/>
  <c r="I339" i="6" s="1"/>
  <c r="I338" i="6" a="1"/>
  <c r="I338" i="6" s="1"/>
  <c r="I337" i="6" a="1"/>
  <c r="I337" i="6" s="1"/>
  <c r="I336" i="6" a="1"/>
  <c r="I336" i="6" s="1"/>
  <c r="I335" i="6" a="1"/>
  <c r="I335" i="6" s="1"/>
  <c r="I334" i="6" a="1"/>
  <c r="I334" i="6" s="1"/>
  <c r="I333" i="6" a="1"/>
  <c r="I333" i="6" s="1"/>
  <c r="I332" i="6" a="1"/>
  <c r="I332" i="6" s="1"/>
  <c r="I331" i="6" a="1"/>
  <c r="I331" i="6" s="1"/>
  <c r="I330" i="6" a="1"/>
  <c r="I330" i="6" s="1"/>
  <c r="I329" i="6" a="1"/>
  <c r="I329" i="6" s="1"/>
  <c r="I328" i="6" a="1"/>
  <c r="I328" i="6" s="1"/>
  <c r="I327" i="6" a="1"/>
  <c r="I327" i="6" s="1"/>
  <c r="I326" i="6" a="1"/>
  <c r="I326" i="6" s="1"/>
  <c r="I325" i="6" a="1"/>
  <c r="I325" i="6" s="1"/>
  <c r="I324" i="6" a="1"/>
  <c r="I324" i="6" s="1"/>
  <c r="I323" i="6" a="1"/>
  <c r="I323" i="6" s="1"/>
  <c r="I322" i="6" a="1"/>
  <c r="I322" i="6" s="1"/>
  <c r="I321" i="6" a="1"/>
  <c r="I321" i="6" s="1"/>
  <c r="I320" i="6" a="1"/>
  <c r="I320" i="6" s="1"/>
  <c r="I319" i="6" a="1"/>
  <c r="I319" i="6" s="1"/>
  <c r="I318" i="6" a="1"/>
  <c r="I318" i="6" s="1"/>
  <c r="I317" i="6" a="1"/>
  <c r="I317" i="6" s="1"/>
  <c r="I316" i="6" a="1"/>
  <c r="I316" i="6" s="1"/>
  <c r="I315" i="6" a="1"/>
  <c r="I315" i="6" s="1"/>
  <c r="I314" i="6" a="1"/>
  <c r="I314" i="6" s="1"/>
  <c r="I313" i="6" a="1"/>
  <c r="I313" i="6" s="1"/>
  <c r="I312" i="6" a="1"/>
  <c r="I312" i="6" s="1"/>
  <c r="I311" i="6" a="1"/>
  <c r="I311" i="6" s="1"/>
  <c r="I310" i="6" a="1"/>
  <c r="I310" i="6" s="1"/>
  <c r="I309" i="6" a="1"/>
  <c r="I309" i="6" s="1"/>
  <c r="I308" i="6" a="1"/>
  <c r="I308" i="6" s="1"/>
  <c r="I307" i="6" a="1"/>
  <c r="I307" i="6" s="1"/>
  <c r="I306" i="6" a="1"/>
  <c r="I306" i="6" s="1"/>
  <c r="I305" i="6" a="1"/>
  <c r="I305" i="6" s="1"/>
  <c r="I304" i="6" a="1"/>
  <c r="I304" i="6" s="1"/>
  <c r="I303" i="6" a="1"/>
  <c r="I303" i="6" s="1"/>
  <c r="I302" i="6" a="1"/>
  <c r="I302" i="6" s="1"/>
  <c r="I301" i="6" a="1"/>
  <c r="I301" i="6" s="1"/>
  <c r="I300" i="6" a="1"/>
  <c r="I300" i="6" s="1"/>
  <c r="I299" i="6" a="1"/>
  <c r="I299" i="6" s="1"/>
  <c r="I298" i="6" a="1"/>
  <c r="I298" i="6" s="1"/>
  <c r="I297" i="6" a="1"/>
  <c r="I297" i="6" s="1"/>
  <c r="I296" i="6" a="1"/>
  <c r="I296" i="6" s="1"/>
  <c r="I295" i="6" a="1"/>
  <c r="I295" i="6" s="1"/>
  <c r="I294" i="6" a="1"/>
  <c r="I294" i="6" s="1"/>
  <c r="I293" i="6" a="1"/>
  <c r="I293" i="6" s="1"/>
  <c r="I292" i="6" a="1"/>
  <c r="I292" i="6" s="1"/>
  <c r="I291" i="6" a="1"/>
  <c r="I291" i="6" s="1"/>
  <c r="I290" i="6" a="1"/>
  <c r="I290" i="6" s="1"/>
  <c r="I289" i="6" a="1"/>
  <c r="I289" i="6" s="1"/>
  <c r="I288" i="6" a="1"/>
  <c r="I288" i="6" s="1"/>
  <c r="I287" i="6" a="1"/>
  <c r="I287" i="6" s="1"/>
  <c r="I286" i="6" a="1"/>
  <c r="I286" i="6" s="1"/>
  <c r="I285" i="6" a="1"/>
  <c r="I285" i="6" s="1"/>
  <c r="I284" i="6" a="1"/>
  <c r="I284" i="6" s="1"/>
  <c r="I283" i="6" a="1"/>
  <c r="I283" i="6" s="1"/>
  <c r="I282" i="6" a="1"/>
  <c r="I282" i="6" s="1"/>
  <c r="I281" i="6" a="1"/>
  <c r="I281" i="6" s="1"/>
  <c r="I280" i="6" a="1"/>
  <c r="I280" i="6" s="1"/>
  <c r="I279" i="6" a="1"/>
  <c r="I279" i="6" s="1"/>
  <c r="I278" i="6" a="1"/>
  <c r="I278" i="6" s="1"/>
  <c r="I277" i="6" a="1"/>
  <c r="I277" i="6" s="1"/>
  <c r="I276" i="6" a="1"/>
  <c r="I276" i="6" s="1"/>
  <c r="I275" i="6" a="1"/>
  <c r="I275" i="6" s="1"/>
  <c r="I274" i="6" a="1"/>
  <c r="I274" i="6" s="1"/>
  <c r="I273" i="6" a="1"/>
  <c r="I273" i="6" s="1"/>
  <c r="I272" i="6" a="1"/>
  <c r="I272" i="6" s="1"/>
  <c r="I271" i="6" a="1"/>
  <c r="I271" i="6" s="1"/>
  <c r="I270" i="6" a="1"/>
  <c r="I270" i="6" s="1"/>
  <c r="I269" i="6" a="1"/>
  <c r="I269" i="6" s="1"/>
  <c r="I268" i="6" a="1"/>
  <c r="I268" i="6" s="1"/>
  <c r="I267" i="6" a="1"/>
  <c r="I267" i="6" s="1"/>
  <c r="I266" i="6" a="1"/>
  <c r="I266" i="6" s="1"/>
  <c r="I265" i="6" a="1"/>
  <c r="I265" i="6" s="1"/>
  <c r="I264" i="6" a="1"/>
  <c r="I264" i="6" s="1"/>
  <c r="I263" i="6" a="1"/>
  <c r="I263" i="6" s="1"/>
  <c r="I262" i="6" a="1"/>
  <c r="I262" i="6" s="1"/>
  <c r="I261" i="6" a="1"/>
  <c r="I261" i="6" s="1"/>
  <c r="I260" i="6" a="1"/>
  <c r="I260" i="6" s="1"/>
  <c r="I259" i="6" a="1"/>
  <c r="I259" i="6" s="1"/>
  <c r="I258" i="6" a="1"/>
  <c r="I258" i="6" s="1"/>
  <c r="I257" i="6" a="1"/>
  <c r="I257" i="6" s="1"/>
  <c r="I256" i="6" a="1"/>
  <c r="I256" i="6" s="1"/>
  <c r="I255" i="6" a="1"/>
  <c r="I255" i="6" s="1"/>
  <c r="I254" i="6" a="1"/>
  <c r="I254" i="6" s="1"/>
  <c r="I253" i="6" a="1"/>
  <c r="I253" i="6" s="1"/>
  <c r="I252" i="6" a="1"/>
  <c r="I252" i="6" s="1"/>
  <c r="I251" i="6" a="1"/>
  <c r="I251" i="6" s="1"/>
  <c r="I250" i="6" a="1"/>
  <c r="I250" i="6" s="1"/>
  <c r="I249" i="6" a="1"/>
  <c r="I249" i="6" s="1"/>
  <c r="I248" i="6" a="1"/>
  <c r="I248" i="6" s="1"/>
  <c r="I247" i="6" a="1"/>
  <c r="I247" i="6" s="1"/>
  <c r="I246" i="6" a="1"/>
  <c r="I246" i="6" s="1"/>
  <c r="I245" i="6" a="1"/>
  <c r="I245" i="6" s="1"/>
  <c r="I244" i="6" a="1"/>
  <c r="I244" i="6" s="1"/>
  <c r="I243" i="6" a="1"/>
  <c r="I243" i="6" s="1"/>
  <c r="I242" i="6" a="1"/>
  <c r="I242" i="6" s="1"/>
  <c r="I241" i="6" a="1"/>
  <c r="I241" i="6" s="1"/>
  <c r="I240" i="6" a="1"/>
  <c r="I240" i="6" s="1"/>
  <c r="I239" i="6" a="1"/>
  <c r="I239" i="6" s="1"/>
  <c r="I238" i="6" a="1"/>
  <c r="I238" i="6" s="1"/>
  <c r="I237" i="6" a="1"/>
  <c r="I237" i="6" s="1"/>
  <c r="I236" i="6" a="1"/>
  <c r="I236" i="6" s="1"/>
  <c r="I235" i="6" a="1"/>
  <c r="I235" i="6" s="1"/>
  <c r="I234" i="6" a="1"/>
  <c r="I234" i="6" s="1"/>
  <c r="I233" i="6" a="1"/>
  <c r="I233" i="6" s="1"/>
  <c r="I232" i="6" a="1"/>
  <c r="I232" i="6" s="1"/>
  <c r="I231" i="6" a="1"/>
  <c r="I231" i="6" s="1"/>
  <c r="I230" i="6" a="1"/>
  <c r="I230" i="6" s="1"/>
  <c r="I229" i="6" a="1"/>
  <c r="I229" i="6" s="1"/>
  <c r="I228" i="6" a="1"/>
  <c r="I228" i="6" s="1"/>
  <c r="I227" i="6" a="1"/>
  <c r="I227" i="6" s="1"/>
  <c r="I226" i="6" a="1"/>
  <c r="I226" i="6" s="1"/>
  <c r="I225" i="6" a="1"/>
  <c r="I225" i="6" s="1"/>
  <c r="I224" i="6" a="1"/>
  <c r="I224" i="6" s="1"/>
  <c r="I223" i="6" a="1"/>
  <c r="I223" i="6" s="1"/>
  <c r="I222" i="6" a="1"/>
  <c r="I222" i="6" s="1"/>
  <c r="I221" i="6" a="1"/>
  <c r="I221" i="6" s="1"/>
  <c r="I220" i="6" a="1"/>
  <c r="I220" i="6" s="1"/>
  <c r="I219" i="6" a="1"/>
  <c r="I219" i="6" s="1"/>
  <c r="I218" i="6" a="1"/>
  <c r="I218" i="6" s="1"/>
  <c r="I217" i="6" a="1"/>
  <c r="I217" i="6" s="1"/>
  <c r="I216" i="6" a="1"/>
  <c r="I216" i="6" s="1"/>
  <c r="I215" i="6" a="1"/>
  <c r="I215" i="6" s="1"/>
  <c r="I214" i="6" a="1"/>
  <c r="I214" i="6" s="1"/>
  <c r="I213" i="6" a="1"/>
  <c r="I213" i="6" s="1"/>
  <c r="I212" i="6" a="1"/>
  <c r="I212" i="6" s="1"/>
  <c r="I211" i="6" a="1"/>
  <c r="I211" i="6" s="1"/>
  <c r="I210" i="6" a="1"/>
  <c r="I210" i="6" s="1"/>
  <c r="I209" i="6" a="1"/>
  <c r="I209" i="6" s="1"/>
  <c r="I208" i="6" a="1"/>
  <c r="I208" i="6" s="1"/>
  <c r="I207" i="6" a="1"/>
  <c r="I207" i="6" s="1"/>
  <c r="I206" i="6" a="1"/>
  <c r="I206" i="6" s="1"/>
  <c r="I205" i="6" a="1"/>
  <c r="I205" i="6" s="1"/>
  <c r="I204" i="6" a="1"/>
  <c r="I204" i="6" s="1"/>
  <c r="I203" i="6" a="1"/>
  <c r="I203" i="6" s="1"/>
  <c r="I202" i="6" a="1"/>
  <c r="I202" i="6" s="1"/>
  <c r="I201" i="6" a="1"/>
  <c r="I201" i="6" s="1"/>
  <c r="I200" i="6" a="1"/>
  <c r="I200" i="6" s="1"/>
  <c r="I199" i="6" a="1"/>
  <c r="I199" i="6" s="1"/>
  <c r="I198" i="6" a="1"/>
  <c r="I198" i="6" s="1"/>
  <c r="I197" i="6" a="1"/>
  <c r="I197" i="6" s="1"/>
  <c r="I196" i="6" a="1"/>
  <c r="I196" i="6" s="1"/>
  <c r="I195" i="6" a="1"/>
  <c r="I195" i="6" s="1"/>
  <c r="I194" i="6" a="1"/>
  <c r="I194" i="6" s="1"/>
  <c r="I193" i="6" a="1"/>
  <c r="I193" i="6" s="1"/>
  <c r="I192" i="6" a="1"/>
  <c r="I192" i="6" s="1"/>
  <c r="I191" i="6" a="1"/>
  <c r="I191" i="6" s="1"/>
  <c r="I190" i="6" a="1"/>
  <c r="I190" i="6" s="1"/>
  <c r="I189" i="6" a="1"/>
  <c r="I189" i="6" s="1"/>
  <c r="I188" i="6" a="1"/>
  <c r="I188" i="6" s="1"/>
  <c r="I187" i="6" a="1"/>
  <c r="I187" i="6" s="1"/>
  <c r="I186" i="6" a="1"/>
  <c r="I186" i="6" s="1"/>
  <c r="I185" i="6" a="1"/>
  <c r="I185" i="6" s="1"/>
  <c r="I184" i="6" a="1"/>
  <c r="I184" i="6" s="1"/>
  <c r="I183" i="6" a="1"/>
  <c r="I183" i="6" s="1"/>
  <c r="I182" i="6" a="1"/>
  <c r="I182" i="6" s="1"/>
  <c r="I181" i="6" a="1"/>
  <c r="I181" i="6" s="1"/>
  <c r="I180" i="6" a="1"/>
  <c r="I180" i="6" s="1"/>
  <c r="I179" i="6" a="1"/>
  <c r="I179" i="6" s="1"/>
  <c r="I178" i="6" a="1"/>
  <c r="I178" i="6" s="1"/>
  <c r="I177" i="6" a="1"/>
  <c r="I177" i="6" s="1"/>
  <c r="I176" i="6" a="1"/>
  <c r="I176" i="6" s="1"/>
  <c r="I175" i="6" a="1"/>
  <c r="I175" i="6" s="1"/>
  <c r="I174" i="6" a="1"/>
  <c r="I174" i="6" s="1"/>
  <c r="I173" i="6" a="1"/>
  <c r="I173" i="6" s="1"/>
  <c r="I172" i="6" a="1"/>
  <c r="I172" i="6" s="1"/>
  <c r="I171" i="6" a="1"/>
  <c r="I171" i="6" s="1"/>
  <c r="I170" i="6" a="1"/>
  <c r="I170" i="6" s="1"/>
  <c r="I169" i="6" a="1"/>
  <c r="I169" i="6" s="1"/>
  <c r="I168" i="6" a="1"/>
  <c r="I168" i="6" s="1"/>
  <c r="I167" i="6" a="1"/>
  <c r="I167" i="6" s="1"/>
  <c r="I166" i="6" a="1"/>
  <c r="I166" i="6" s="1"/>
  <c r="I165" i="6" a="1"/>
  <c r="I165" i="6" s="1"/>
  <c r="I164" i="6" a="1"/>
  <c r="I164" i="6" s="1"/>
  <c r="I163" i="6" a="1"/>
  <c r="I163" i="6" s="1"/>
  <c r="I162" i="6" a="1"/>
  <c r="I162" i="6" s="1"/>
  <c r="I161" i="6" a="1"/>
  <c r="I161" i="6" s="1"/>
  <c r="I160" i="6" a="1"/>
  <c r="I160" i="6" s="1"/>
  <c r="I159" i="6" a="1"/>
  <c r="I159" i="6" s="1"/>
  <c r="I158" i="6" a="1"/>
  <c r="I158" i="6" s="1"/>
  <c r="I157" i="6" a="1"/>
  <c r="I157" i="6" s="1"/>
  <c r="I156" i="6" a="1"/>
  <c r="I156" i="6" s="1"/>
  <c r="I155" i="6" a="1"/>
  <c r="I155" i="6" s="1"/>
  <c r="I154" i="6" a="1"/>
  <c r="I154" i="6" s="1"/>
  <c r="I153" i="6" a="1"/>
  <c r="I153" i="6" s="1"/>
  <c r="I152" i="6" a="1"/>
  <c r="I152" i="6" s="1"/>
  <c r="I151" i="6" a="1"/>
  <c r="I151" i="6" s="1"/>
  <c r="I150" i="6" a="1"/>
  <c r="I150" i="6" s="1"/>
  <c r="I149" i="6" a="1"/>
  <c r="I149" i="6" s="1"/>
  <c r="I148" i="6" a="1"/>
  <c r="I148" i="6" s="1"/>
  <c r="I147" i="6" a="1"/>
  <c r="I147" i="6" s="1"/>
  <c r="I146" i="6" a="1"/>
  <c r="I146" i="6" s="1"/>
  <c r="I145" i="6" a="1"/>
  <c r="I145" i="6" s="1"/>
  <c r="I144" i="6" a="1"/>
  <c r="I144" i="6" s="1"/>
  <c r="I143" i="6" a="1"/>
  <c r="I143" i="6" s="1"/>
  <c r="I142" i="6" a="1"/>
  <c r="I142" i="6" s="1"/>
  <c r="I141" i="6" a="1"/>
  <c r="I141" i="6" s="1"/>
  <c r="I140" i="6" a="1"/>
  <c r="I140" i="6" s="1"/>
  <c r="I139" i="6" a="1"/>
  <c r="I139" i="6" s="1"/>
  <c r="I138" i="6" a="1"/>
  <c r="I138" i="6" s="1"/>
  <c r="I137" i="6" a="1"/>
  <c r="I137" i="6" s="1"/>
  <c r="I136" i="6" a="1"/>
  <c r="I136" i="6" s="1"/>
  <c r="I135" i="6" a="1"/>
  <c r="I135" i="6" s="1"/>
  <c r="I134" i="6" a="1"/>
  <c r="I134" i="6" s="1"/>
  <c r="I133" i="6" a="1"/>
  <c r="I133" i="6" s="1"/>
  <c r="I132" i="6" a="1"/>
  <c r="I132" i="6" s="1"/>
  <c r="I131" i="6" a="1"/>
  <c r="I131" i="6" s="1"/>
  <c r="I130" i="6" a="1"/>
  <c r="I130" i="6" s="1"/>
  <c r="I129" i="6" a="1"/>
  <c r="I129" i="6" s="1"/>
  <c r="I128" i="6" a="1"/>
  <c r="I128" i="6" s="1"/>
  <c r="I127" i="6" a="1"/>
  <c r="I127" i="6" s="1"/>
  <c r="I126" i="6" a="1"/>
  <c r="I126" i="6" s="1"/>
  <c r="I125" i="6" a="1"/>
  <c r="I125" i="6" s="1"/>
  <c r="I124" i="6" a="1"/>
  <c r="I124" i="6" s="1"/>
  <c r="I123" i="6" a="1"/>
  <c r="I123" i="6" s="1"/>
  <c r="I122" i="6" a="1"/>
  <c r="I122" i="6" s="1"/>
  <c r="I121" i="6" a="1"/>
  <c r="I121" i="6" s="1"/>
  <c r="I120" i="6" a="1"/>
  <c r="I120" i="6" s="1"/>
  <c r="I119" i="6" a="1"/>
  <c r="I119" i="6" s="1"/>
  <c r="I118" i="6" a="1"/>
  <c r="I118" i="6" s="1"/>
  <c r="I117" i="6" a="1"/>
  <c r="I117" i="6" s="1"/>
  <c r="I116" i="6" a="1"/>
  <c r="I116" i="6" s="1"/>
  <c r="I115" i="6" a="1"/>
  <c r="I115" i="6" s="1"/>
  <c r="I114" i="6" a="1"/>
  <c r="I114" i="6" s="1"/>
  <c r="I113" i="6" a="1"/>
  <c r="I113" i="6" s="1"/>
  <c r="I112" i="6" a="1"/>
  <c r="I112" i="6" s="1"/>
  <c r="I111" i="6" a="1"/>
  <c r="I111" i="6" s="1"/>
  <c r="I110" i="6" a="1"/>
  <c r="I110" i="6" s="1"/>
  <c r="I109" i="6" a="1"/>
  <c r="I109" i="6" s="1"/>
  <c r="I108" i="6" a="1"/>
  <c r="I108" i="6" s="1"/>
  <c r="I107" i="6" a="1"/>
  <c r="I107" i="6" s="1"/>
  <c r="I106" i="6" a="1"/>
  <c r="I106" i="6" s="1"/>
  <c r="I105" i="6" a="1"/>
  <c r="I105" i="6" s="1"/>
  <c r="I104" i="6" a="1"/>
  <c r="I104" i="6" s="1"/>
  <c r="I103" i="6" a="1"/>
  <c r="I103" i="6" s="1"/>
  <c r="I102" i="6" a="1"/>
  <c r="I102" i="6" s="1"/>
  <c r="I101" i="6" a="1"/>
  <c r="I101" i="6" s="1"/>
  <c r="I100" i="6" a="1"/>
  <c r="I100" i="6" s="1"/>
  <c r="I99" i="6" a="1"/>
  <c r="I99" i="6" s="1"/>
  <c r="I98" i="6" a="1"/>
  <c r="I98" i="6" s="1"/>
  <c r="I97" i="6" a="1"/>
  <c r="I97" i="6" s="1"/>
  <c r="I96" i="6" a="1"/>
  <c r="I96" i="6" s="1"/>
  <c r="I95" i="6" a="1"/>
  <c r="I95" i="6" s="1"/>
  <c r="I94" i="6" a="1"/>
  <c r="I94" i="6" s="1"/>
  <c r="I93" i="6" a="1"/>
  <c r="I93" i="6" s="1"/>
  <c r="I92" i="6" a="1"/>
  <c r="I92" i="6" s="1"/>
  <c r="I91" i="6" a="1"/>
  <c r="I91" i="6" s="1"/>
  <c r="I90" i="6" a="1"/>
  <c r="I90" i="6" s="1"/>
  <c r="I89" i="6" a="1"/>
  <c r="I89" i="6" s="1"/>
  <c r="I88" i="6" a="1"/>
  <c r="I88" i="6" s="1"/>
  <c r="I87" i="6" a="1"/>
  <c r="I87" i="6" s="1"/>
  <c r="I86" i="6" a="1"/>
  <c r="I86" i="6" s="1"/>
  <c r="I85" i="6" a="1"/>
  <c r="I85" i="6" s="1"/>
  <c r="I84" i="6" a="1"/>
  <c r="I84" i="6" s="1"/>
  <c r="I83" i="6" a="1"/>
  <c r="I83" i="6" s="1"/>
  <c r="I82" i="6" a="1"/>
  <c r="I82" i="6" s="1"/>
  <c r="I81" i="6" a="1"/>
  <c r="I81" i="6" s="1"/>
  <c r="I80" i="6" a="1"/>
  <c r="I80" i="6" s="1"/>
  <c r="I79" i="6" a="1"/>
  <c r="I79" i="6" s="1"/>
  <c r="I78" i="6" a="1"/>
  <c r="I78" i="6" s="1"/>
  <c r="I77" i="6" a="1"/>
  <c r="I77" i="6" s="1"/>
  <c r="I76" i="6" a="1"/>
  <c r="I76" i="6" s="1"/>
  <c r="I75" i="6" a="1"/>
  <c r="I75" i="6" s="1"/>
  <c r="I74" i="6" a="1"/>
  <c r="I74" i="6" s="1"/>
  <c r="I73" i="6" a="1"/>
  <c r="I73" i="6" s="1"/>
  <c r="I72" i="6" a="1"/>
  <c r="I72" i="6" s="1"/>
  <c r="I71" i="6" a="1"/>
  <c r="I71" i="6" s="1"/>
  <c r="I70" i="6" a="1"/>
  <c r="I70" i="6" s="1"/>
  <c r="I69" i="6" a="1"/>
  <c r="I69" i="6" s="1"/>
  <c r="I68" i="6" a="1"/>
  <c r="I68" i="6" s="1"/>
  <c r="I67" i="6" a="1"/>
  <c r="I67" i="6" s="1"/>
  <c r="I66" i="6" a="1"/>
  <c r="I66" i="6" s="1"/>
  <c r="I65" i="6" a="1"/>
  <c r="I65" i="6" s="1"/>
  <c r="I64" i="6" a="1"/>
  <c r="I64" i="6" s="1"/>
  <c r="I63" i="6" a="1"/>
  <c r="I63" i="6" s="1"/>
  <c r="I62" i="6" a="1"/>
  <c r="I62" i="6" s="1"/>
  <c r="I61" i="6" a="1"/>
  <c r="I61" i="6" s="1"/>
  <c r="I60" i="6" a="1"/>
  <c r="I60" i="6" s="1"/>
  <c r="I59" i="6" a="1"/>
  <c r="I59" i="6" s="1"/>
  <c r="I58" i="6" a="1"/>
  <c r="I58" i="6" s="1"/>
  <c r="I57" i="6" a="1"/>
  <c r="I57" i="6" s="1"/>
  <c r="I56" i="6" a="1"/>
  <c r="I56" i="6" s="1"/>
  <c r="I55" i="6" a="1"/>
  <c r="I55" i="6" s="1"/>
  <c r="I54" i="6" a="1"/>
  <c r="I54" i="6" s="1"/>
  <c r="I53" i="6" a="1"/>
  <c r="I53" i="6" s="1"/>
  <c r="I52" i="6" a="1"/>
  <c r="I52" i="6" s="1"/>
  <c r="I51" i="6" a="1"/>
  <c r="I51" i="6" s="1"/>
  <c r="I50" i="6" a="1"/>
  <c r="I50" i="6" s="1"/>
  <c r="I49" i="6" a="1"/>
  <c r="I49" i="6" s="1"/>
  <c r="I48" i="6" a="1"/>
  <c r="I48" i="6" s="1"/>
  <c r="I47" i="6" a="1"/>
  <c r="I47" i="6" s="1"/>
  <c r="I46" i="6" a="1"/>
  <c r="I46" i="6" s="1"/>
  <c r="I45" i="6" a="1"/>
  <c r="I45" i="6" s="1"/>
  <c r="I44" i="6" a="1"/>
  <c r="I44" i="6" s="1"/>
  <c r="I43" i="6" a="1"/>
  <c r="I43" i="6" s="1"/>
  <c r="I42" i="6" a="1"/>
  <c r="I42" i="6" s="1"/>
  <c r="I41" i="6" a="1"/>
  <c r="I41" i="6" s="1"/>
  <c r="I40" i="6" a="1"/>
  <c r="I40" i="6" s="1"/>
  <c r="I39" i="6" a="1"/>
  <c r="I39" i="6" s="1"/>
  <c r="I38" i="6" a="1"/>
  <c r="I38" i="6" s="1"/>
  <c r="I37" i="6" a="1"/>
  <c r="I37" i="6" s="1"/>
  <c r="I36" i="6" a="1"/>
  <c r="I36" i="6" s="1"/>
  <c r="I35" i="6" a="1"/>
  <c r="I35" i="6" s="1"/>
  <c r="I34" i="6" a="1"/>
  <c r="I34" i="6" s="1"/>
  <c r="I33" i="6" a="1"/>
  <c r="I33" i="6" s="1"/>
  <c r="I32" i="6" a="1"/>
  <c r="I32" i="6" s="1"/>
  <c r="I31" i="6" a="1"/>
  <c r="I31" i="6" s="1"/>
  <c r="I30" i="6" a="1"/>
  <c r="I30" i="6" s="1"/>
  <c r="I29" i="6" a="1"/>
  <c r="I29" i="6" s="1"/>
  <c r="I28" i="6" a="1"/>
  <c r="I28" i="6" s="1"/>
  <c r="I27" i="6" a="1"/>
  <c r="I27" i="6" s="1"/>
  <c r="I26" i="6" a="1"/>
  <c r="I26" i="6" s="1"/>
  <c r="I25" i="6" a="1"/>
  <c r="I25" i="6" s="1"/>
  <c r="I24" i="6" a="1"/>
  <c r="I24" i="6" s="1"/>
  <c r="I23" i="6" a="1"/>
  <c r="I23" i="6" s="1"/>
  <c r="I22" i="6" a="1"/>
  <c r="I22" i="6" s="1"/>
  <c r="I21" i="6" a="1"/>
  <c r="I21" i="6" s="1"/>
  <c r="I20" i="6" a="1"/>
  <c r="I20" i="6" s="1"/>
  <c r="I19" i="6" a="1"/>
  <c r="I19" i="6" s="1"/>
  <c r="I18" i="6" a="1"/>
  <c r="I18" i="6" s="1"/>
  <c r="I17" i="6" a="1"/>
  <c r="I17" i="6" s="1"/>
  <c r="I16" i="6" a="1"/>
  <c r="I16" i="6" s="1"/>
  <c r="I15" i="6" a="1"/>
  <c r="I15" i="6" s="1"/>
  <c r="I14" i="6" a="1"/>
  <c r="I14" i="6" s="1"/>
  <c r="I13" i="6" a="1"/>
  <c r="I13" i="6" s="1"/>
  <c r="I12" i="6" a="1"/>
  <c r="I12" i="6" s="1"/>
  <c r="I11" i="6" a="1"/>
  <c r="I11" i="6" s="1"/>
  <c r="I10" i="6" a="1"/>
  <c r="I10" i="6" s="1"/>
  <c r="I9" i="6" a="1"/>
  <c r="I9" i="6" s="1"/>
  <c r="I8" i="6" a="1"/>
  <c r="I8" i="6" s="1"/>
  <c r="I7" i="6" a="1"/>
  <c r="I7" i="6" s="1"/>
  <c r="I6" i="6" a="1"/>
  <c r="I6" i="6" s="1"/>
  <c r="I5" i="6" a="1"/>
  <c r="I5" i="6" s="1"/>
  <c r="I4" i="6" a="1"/>
  <c r="I4" i="6" s="1"/>
  <c r="I3" i="6" a="1"/>
  <c r="I3" i="6" s="1"/>
  <c r="I2" i="6" a="1"/>
  <c r="I2" i="6" s="1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K2" i="5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I95" i="5" a="1"/>
  <c r="I95" i="5" s="1"/>
  <c r="I94" i="5" a="1"/>
  <c r="I94" i="5" s="1"/>
  <c r="I93" i="5" a="1"/>
  <c r="I93" i="5" s="1"/>
  <c r="I92" i="5" a="1"/>
  <c r="I92" i="5" s="1"/>
  <c r="I91" i="5" a="1"/>
  <c r="I91" i="5" s="1"/>
  <c r="I90" i="5" a="1"/>
  <c r="I90" i="5" s="1"/>
  <c r="I89" i="5" a="1"/>
  <c r="I89" i="5" s="1"/>
  <c r="I88" i="5" a="1"/>
  <c r="I88" i="5" s="1"/>
  <c r="I87" i="5" a="1"/>
  <c r="I87" i="5" s="1"/>
  <c r="I86" i="5" a="1"/>
  <c r="I86" i="5" s="1"/>
  <c r="I85" i="5" a="1"/>
  <c r="I85" i="5" s="1"/>
  <c r="I84" i="5" a="1"/>
  <c r="I84" i="5" s="1"/>
  <c r="I83" i="5" a="1"/>
  <c r="I83" i="5" s="1"/>
  <c r="I82" i="5" a="1"/>
  <c r="I82" i="5" s="1"/>
  <c r="I81" i="5" a="1"/>
  <c r="I81" i="5" s="1"/>
  <c r="I80" i="5" a="1"/>
  <c r="I80" i="5" s="1"/>
  <c r="I79" i="5" a="1"/>
  <c r="I79" i="5" s="1"/>
  <c r="I78" i="5" a="1"/>
  <c r="I78" i="5" s="1"/>
  <c r="I77" i="5" a="1"/>
  <c r="I77" i="5" s="1"/>
  <c r="I76" i="5" a="1"/>
  <c r="I76" i="5" s="1"/>
  <c r="I75" i="5" a="1"/>
  <c r="I75" i="5" s="1"/>
  <c r="I74" i="5" a="1"/>
  <c r="I74" i="5" s="1"/>
  <c r="I73" i="5" a="1"/>
  <c r="I73" i="5" s="1"/>
  <c r="I72" i="5" a="1"/>
  <c r="I72" i="5" s="1"/>
  <c r="I71" i="5" a="1"/>
  <c r="I71" i="5" s="1"/>
  <c r="I70" i="5" a="1"/>
  <c r="I70" i="5" s="1"/>
  <c r="I69" i="5" a="1"/>
  <c r="I69" i="5" s="1"/>
  <c r="I68" i="5" a="1"/>
  <c r="I68" i="5" s="1"/>
  <c r="I67" i="5" a="1"/>
  <c r="I67" i="5" s="1"/>
  <c r="I66" i="5" a="1"/>
  <c r="I66" i="5" s="1"/>
  <c r="I65" i="5" a="1"/>
  <c r="I65" i="5" s="1"/>
  <c r="I64" i="5" a="1"/>
  <c r="I64" i="5" s="1"/>
  <c r="I63" i="5" a="1"/>
  <c r="I63" i="5" s="1"/>
  <c r="I62" i="5" a="1"/>
  <c r="I62" i="5" s="1"/>
  <c r="I61" i="5" a="1"/>
  <c r="I61" i="5" s="1"/>
  <c r="I60" i="5" a="1"/>
  <c r="I60" i="5" s="1"/>
  <c r="I59" i="5" a="1"/>
  <c r="I59" i="5" s="1"/>
  <c r="I58" i="5" a="1"/>
  <c r="I58" i="5" s="1"/>
  <c r="I57" i="5" a="1"/>
  <c r="I57" i="5" s="1"/>
  <c r="I56" i="5" a="1"/>
  <c r="I56" i="5" s="1"/>
  <c r="I55" i="5" a="1"/>
  <c r="I55" i="5" s="1"/>
  <c r="I54" i="5" a="1"/>
  <c r="I54" i="5" s="1"/>
  <c r="I53" i="5" a="1"/>
  <c r="I53" i="5" s="1"/>
  <c r="I52" i="5" a="1"/>
  <c r="I52" i="5" s="1"/>
  <c r="I51" i="5" a="1"/>
  <c r="I51" i="5" s="1"/>
  <c r="I50" i="5" a="1"/>
  <c r="I50" i="5" s="1"/>
  <c r="I49" i="5" a="1"/>
  <c r="I49" i="5" s="1"/>
  <c r="I48" i="5" a="1"/>
  <c r="I48" i="5" s="1"/>
  <c r="I47" i="5" a="1"/>
  <c r="I47" i="5" s="1"/>
  <c r="I46" i="5" a="1"/>
  <c r="I46" i="5" s="1"/>
  <c r="I45" i="5" a="1"/>
  <c r="I45" i="5" s="1"/>
  <c r="I44" i="5" a="1"/>
  <c r="I44" i="5" s="1"/>
  <c r="I43" i="5" a="1"/>
  <c r="I43" i="5" s="1"/>
  <c r="I42" i="5" a="1"/>
  <c r="I42" i="5" s="1"/>
  <c r="I41" i="5" a="1"/>
  <c r="I41" i="5" s="1"/>
  <c r="I40" i="5" a="1"/>
  <c r="I40" i="5" s="1"/>
  <c r="I39" i="5" a="1"/>
  <c r="I39" i="5" s="1"/>
  <c r="I38" i="5" a="1"/>
  <c r="I38" i="5" s="1"/>
  <c r="I37" i="5" a="1"/>
  <c r="I37" i="5" s="1"/>
  <c r="I36" i="5" a="1"/>
  <c r="I36" i="5" s="1"/>
  <c r="I35" i="5" a="1"/>
  <c r="I35" i="5" s="1"/>
  <c r="I34" i="5" a="1"/>
  <c r="I34" i="5" s="1"/>
  <c r="I33" i="5" a="1"/>
  <c r="I33" i="5" s="1"/>
  <c r="I32" i="5" a="1"/>
  <c r="I32" i="5" s="1"/>
  <c r="I31" i="5" a="1"/>
  <c r="I31" i="5" s="1"/>
  <c r="I30" i="5" a="1"/>
  <c r="I30" i="5" s="1"/>
  <c r="I29" i="5" a="1"/>
  <c r="I29" i="5" s="1"/>
  <c r="I28" i="5" a="1"/>
  <c r="I28" i="5" s="1"/>
  <c r="I27" i="5" a="1"/>
  <c r="I27" i="5" s="1"/>
  <c r="I26" i="5" a="1"/>
  <c r="I26" i="5" s="1"/>
  <c r="I25" i="5" a="1"/>
  <c r="I25" i="5" s="1"/>
  <c r="I24" i="5" a="1"/>
  <c r="I24" i="5" s="1"/>
  <c r="I23" i="5" a="1"/>
  <c r="I23" i="5" s="1"/>
  <c r="I22" i="5" a="1"/>
  <c r="I22" i="5" s="1"/>
  <c r="I21" i="5" a="1"/>
  <c r="I21" i="5" s="1"/>
  <c r="I20" i="5" a="1"/>
  <c r="I20" i="5" s="1"/>
  <c r="I19" i="5" a="1"/>
  <c r="I19" i="5" s="1"/>
  <c r="I18" i="5" a="1"/>
  <c r="I18" i="5" s="1"/>
  <c r="I17" i="5" a="1"/>
  <c r="I17" i="5" s="1"/>
  <c r="I16" i="5" a="1"/>
  <c r="I16" i="5" s="1"/>
  <c r="I15" i="5" a="1"/>
  <c r="I15" i="5" s="1"/>
  <c r="I14" i="5" a="1"/>
  <c r="I14" i="5" s="1"/>
  <c r="I13" i="5" a="1"/>
  <c r="I13" i="5" s="1"/>
  <c r="I12" i="5" a="1"/>
  <c r="I12" i="5" s="1"/>
  <c r="I11" i="5" a="1"/>
  <c r="I11" i="5" s="1"/>
  <c r="I10" i="5" a="1"/>
  <c r="I10" i="5" s="1"/>
  <c r="I9" i="5" a="1"/>
  <c r="I9" i="5" s="1"/>
  <c r="I8" i="5" a="1"/>
  <c r="I8" i="5" s="1"/>
  <c r="I7" i="5" a="1"/>
  <c r="I7" i="5" s="1"/>
  <c r="I6" i="5" a="1"/>
  <c r="I6" i="5" s="1"/>
  <c r="I5" i="5" a="1"/>
  <c r="I5" i="5" s="1"/>
  <c r="I4" i="5" a="1"/>
  <c r="I4" i="5" s="1"/>
  <c r="I3" i="5" a="1"/>
  <c r="I3" i="5" s="1"/>
  <c r="I2" i="5" a="1"/>
  <c r="I2" i="5" s="1"/>
  <c r="I97" i="4" a="1"/>
  <c r="I97" i="4" s="1"/>
  <c r="I96" i="4" a="1"/>
  <c r="I96" i="4" s="1"/>
  <c r="I95" i="4" a="1"/>
  <c r="I95" i="4" s="1"/>
  <c r="I94" i="4" a="1"/>
  <c r="I94" i="4" s="1"/>
  <c r="I93" i="4" a="1"/>
  <c r="I93" i="4" s="1"/>
  <c r="I92" i="4" a="1"/>
  <c r="I92" i="4" s="1"/>
  <c r="I91" i="4" a="1"/>
  <c r="I91" i="4" s="1"/>
  <c r="I90" i="4" a="1"/>
  <c r="I90" i="4" s="1"/>
  <c r="I89" i="4" a="1"/>
  <c r="I89" i="4" s="1"/>
  <c r="I88" i="4" a="1"/>
  <c r="I88" i="4" s="1"/>
  <c r="I87" i="4" a="1"/>
  <c r="I87" i="4" s="1"/>
  <c r="I86" i="4" a="1"/>
  <c r="I86" i="4" s="1"/>
  <c r="I85" i="4" a="1"/>
  <c r="I85" i="4" s="1"/>
  <c r="I84" i="4" a="1"/>
  <c r="I84" i="4" s="1"/>
  <c r="I83" i="4" a="1"/>
  <c r="I83" i="4" s="1"/>
  <c r="I82" i="4" a="1"/>
  <c r="I82" i="4" s="1"/>
  <c r="I81" i="4" a="1"/>
  <c r="I81" i="4" s="1"/>
  <c r="I80" i="4" a="1"/>
  <c r="I80" i="4" s="1"/>
  <c r="I79" i="4" a="1"/>
  <c r="I79" i="4" s="1"/>
  <c r="I78" i="4" a="1"/>
  <c r="I78" i="4" s="1"/>
  <c r="I77" i="4" a="1"/>
  <c r="I77" i="4" s="1"/>
  <c r="I76" i="4" a="1"/>
  <c r="I76" i="4" s="1"/>
  <c r="I75" i="4" a="1"/>
  <c r="I75" i="4" s="1"/>
  <c r="I74" i="4" a="1"/>
  <c r="I74" i="4" s="1"/>
  <c r="I73" i="4" a="1"/>
  <c r="I73" i="4" s="1"/>
  <c r="I72" i="4" a="1"/>
  <c r="I72" i="4" s="1"/>
  <c r="I71" i="4" a="1"/>
  <c r="I71" i="4" s="1"/>
  <c r="I70" i="4" a="1"/>
  <c r="I70" i="4" s="1"/>
  <c r="I69" i="4" a="1"/>
  <c r="I69" i="4" s="1"/>
  <c r="I68" i="4" a="1"/>
  <c r="I68" i="4" s="1"/>
  <c r="I67" i="4" a="1"/>
  <c r="I67" i="4" s="1"/>
  <c r="I66" i="4" a="1"/>
  <c r="I66" i="4" s="1"/>
  <c r="I65" i="4" a="1"/>
  <c r="I65" i="4" s="1"/>
  <c r="I64" i="4" a="1"/>
  <c r="I64" i="4" s="1"/>
  <c r="I63" i="4" a="1"/>
  <c r="I63" i="4" s="1"/>
  <c r="I62" i="4" a="1"/>
  <c r="I62" i="4" s="1"/>
  <c r="I61" i="4" a="1"/>
  <c r="I61" i="4" s="1"/>
  <c r="I60" i="4" a="1"/>
  <c r="I60" i="4" s="1"/>
  <c r="I59" i="4" a="1"/>
  <c r="I59" i="4" s="1"/>
  <c r="I58" i="4" a="1"/>
  <c r="I58" i="4" s="1"/>
  <c r="I57" i="4" a="1"/>
  <c r="I57" i="4" s="1"/>
  <c r="I56" i="4" a="1"/>
  <c r="I56" i="4" s="1"/>
  <c r="I55" i="4" a="1"/>
  <c r="I55" i="4" s="1"/>
  <c r="I54" i="4" a="1"/>
  <c r="I54" i="4" s="1"/>
  <c r="I53" i="4" a="1"/>
  <c r="I53" i="4" s="1"/>
  <c r="I52" i="4" a="1"/>
  <c r="I52" i="4" s="1"/>
  <c r="I51" i="4" a="1"/>
  <c r="I51" i="4" s="1"/>
  <c r="I50" i="4" a="1"/>
  <c r="I50" i="4" s="1"/>
  <c r="I49" i="4" a="1"/>
  <c r="I49" i="4" s="1"/>
  <c r="I48" i="4" a="1"/>
  <c r="I48" i="4" s="1"/>
  <c r="I47" i="4" a="1"/>
  <c r="I47" i="4" s="1"/>
  <c r="I46" i="4" a="1"/>
  <c r="I46" i="4" s="1"/>
  <c r="I45" i="4" a="1"/>
  <c r="I45" i="4" s="1"/>
  <c r="I44" i="4" a="1"/>
  <c r="I44" i="4" s="1"/>
  <c r="I43" i="4" a="1"/>
  <c r="I43" i="4" s="1"/>
  <c r="I42" i="4" a="1"/>
  <c r="I42" i="4" s="1"/>
  <c r="I41" i="4" a="1"/>
  <c r="I41" i="4" s="1"/>
  <c r="I40" i="4" a="1"/>
  <c r="I40" i="4" s="1"/>
  <c r="I39" i="4" a="1"/>
  <c r="I39" i="4" s="1"/>
  <c r="I38" i="4" a="1"/>
  <c r="I38" i="4" s="1"/>
  <c r="I37" i="4" a="1"/>
  <c r="I37" i="4" s="1"/>
  <c r="I36" i="4" a="1"/>
  <c r="I36" i="4" s="1"/>
  <c r="I35" i="4" a="1"/>
  <c r="I35" i="4" s="1"/>
  <c r="I34" i="4" a="1"/>
  <c r="I34" i="4" s="1"/>
  <c r="I33" i="4" a="1"/>
  <c r="I33" i="4" s="1"/>
  <c r="I32" i="4" a="1"/>
  <c r="I32" i="4" s="1"/>
  <c r="I31" i="4" a="1"/>
  <c r="I31" i="4" s="1"/>
  <c r="I30" i="4" a="1"/>
  <c r="I30" i="4" s="1"/>
  <c r="I29" i="4" a="1"/>
  <c r="I29" i="4" s="1"/>
  <c r="I28" i="4" a="1"/>
  <c r="I28" i="4" s="1"/>
  <c r="I27" i="4" a="1"/>
  <c r="I27" i="4" s="1"/>
  <c r="I26" i="4" a="1"/>
  <c r="I26" i="4" s="1"/>
  <c r="I25" i="4" a="1"/>
  <c r="I25" i="4" s="1"/>
  <c r="I24" i="4" a="1"/>
  <c r="I24" i="4" s="1"/>
  <c r="I23" i="4" a="1"/>
  <c r="I23" i="4" s="1"/>
  <c r="I22" i="4" a="1"/>
  <c r="I22" i="4" s="1"/>
  <c r="I21" i="4" a="1"/>
  <c r="I21" i="4" s="1"/>
  <c r="I20" i="4" a="1"/>
  <c r="I20" i="4" s="1"/>
  <c r="I19" i="4" a="1"/>
  <c r="I19" i="4" s="1"/>
  <c r="I18" i="4" a="1"/>
  <c r="I18" i="4" s="1"/>
  <c r="I17" i="4" a="1"/>
  <c r="I17" i="4" s="1"/>
  <c r="I16" i="4" a="1"/>
  <c r="I16" i="4" s="1"/>
  <c r="I15" i="4" a="1"/>
  <c r="I15" i="4" s="1"/>
  <c r="I14" i="4" a="1"/>
  <c r="I14" i="4" s="1"/>
  <c r="I13" i="4" a="1"/>
  <c r="I13" i="4" s="1"/>
  <c r="I12" i="4" a="1"/>
  <c r="I12" i="4" s="1"/>
  <c r="I11" i="4" a="1"/>
  <c r="I11" i="4" s="1"/>
  <c r="I10" i="4" a="1"/>
  <c r="I10" i="4" s="1"/>
  <c r="I9" i="4" a="1"/>
  <c r="I9" i="4" s="1"/>
  <c r="I8" i="4" a="1"/>
  <c r="I8" i="4" s="1"/>
  <c r="I7" i="4" a="1"/>
  <c r="I7" i="4" s="1"/>
  <c r="I6" i="4" a="1"/>
  <c r="I6" i="4" s="1"/>
  <c r="I5" i="4" a="1"/>
  <c r="I5" i="4" s="1"/>
  <c r="I4" i="4" a="1"/>
  <c r="I4" i="4" s="1"/>
  <c r="I3" i="4" a="1"/>
  <c r="I3" i="4" s="1"/>
  <c r="I2" i="4" a="1"/>
  <c r="I2" i="4" s="1"/>
  <c r="I100" i="3" a="1"/>
  <c r="I100" i="3" s="1"/>
  <c r="I99" i="3" a="1"/>
  <c r="I99" i="3" s="1"/>
  <c r="I98" i="3" a="1"/>
  <c r="I98" i="3" s="1"/>
  <c r="I97" i="3" a="1"/>
  <c r="I97" i="3" s="1"/>
  <c r="I96" i="3" a="1"/>
  <c r="I96" i="3" s="1"/>
  <c r="I95" i="3" a="1"/>
  <c r="I95" i="3" s="1"/>
  <c r="I94" i="3" a="1"/>
  <c r="I94" i="3" s="1"/>
  <c r="I93" i="3" a="1"/>
  <c r="I93" i="3" s="1"/>
  <c r="I92" i="3" a="1"/>
  <c r="I92" i="3" s="1"/>
  <c r="I91" i="3" a="1"/>
  <c r="I91" i="3" s="1"/>
  <c r="I90" i="3" a="1"/>
  <c r="I90" i="3" s="1"/>
  <c r="I89" i="3" a="1"/>
  <c r="I89" i="3" s="1"/>
  <c r="I88" i="3" a="1"/>
  <c r="I88" i="3" s="1"/>
  <c r="I87" i="3" a="1"/>
  <c r="I87" i="3" s="1"/>
  <c r="I86" i="3" a="1"/>
  <c r="I86" i="3" s="1"/>
  <c r="I85" i="3" a="1"/>
  <c r="I85" i="3" s="1"/>
  <c r="I84" i="3" a="1"/>
  <c r="I84" i="3" s="1"/>
  <c r="I83" i="3" a="1"/>
  <c r="I83" i="3" s="1"/>
  <c r="I82" i="3" a="1"/>
  <c r="I82" i="3" s="1"/>
  <c r="I81" i="3" a="1"/>
  <c r="I81" i="3" s="1"/>
  <c r="I80" i="3" a="1"/>
  <c r="I80" i="3" s="1"/>
  <c r="I79" i="3" a="1"/>
  <c r="I79" i="3" s="1"/>
  <c r="I78" i="3" a="1"/>
  <c r="I78" i="3" s="1"/>
  <c r="I77" i="3" a="1"/>
  <c r="I77" i="3" s="1"/>
  <c r="I76" i="3" a="1"/>
  <c r="I76" i="3" s="1"/>
  <c r="I75" i="3" a="1"/>
  <c r="I75" i="3" s="1"/>
  <c r="I74" i="3" a="1"/>
  <c r="I74" i="3" s="1"/>
  <c r="I73" i="3" a="1"/>
  <c r="I73" i="3" s="1"/>
  <c r="I72" i="3" a="1"/>
  <c r="I72" i="3" s="1"/>
  <c r="I71" i="3" a="1"/>
  <c r="I71" i="3" s="1"/>
  <c r="I70" i="3" a="1"/>
  <c r="I70" i="3" s="1"/>
  <c r="I69" i="3" a="1"/>
  <c r="I69" i="3" s="1"/>
  <c r="I68" i="3" a="1"/>
  <c r="I68" i="3" s="1"/>
  <c r="I67" i="3" a="1"/>
  <c r="I67" i="3" s="1"/>
  <c r="I66" i="3" a="1"/>
  <c r="I66" i="3" s="1"/>
  <c r="I65" i="3" a="1"/>
  <c r="I65" i="3" s="1"/>
  <c r="I64" i="3" a="1"/>
  <c r="I64" i="3" s="1"/>
  <c r="I63" i="3" a="1"/>
  <c r="I63" i="3" s="1"/>
  <c r="I62" i="3" a="1"/>
  <c r="I62" i="3" s="1"/>
  <c r="I61" i="3" a="1"/>
  <c r="I61" i="3" s="1"/>
  <c r="I60" i="3" a="1"/>
  <c r="I60" i="3" s="1"/>
  <c r="I59" i="3" a="1"/>
  <c r="I59" i="3" s="1"/>
  <c r="I58" i="3" a="1"/>
  <c r="I58" i="3" s="1"/>
  <c r="I57" i="3" a="1"/>
  <c r="I57" i="3" s="1"/>
  <c r="I56" i="3" a="1"/>
  <c r="I56" i="3" s="1"/>
  <c r="I55" i="3" a="1"/>
  <c r="I55" i="3" s="1"/>
  <c r="I54" i="3" a="1"/>
  <c r="I54" i="3" s="1"/>
  <c r="I53" i="3" a="1"/>
  <c r="I53" i="3" s="1"/>
  <c r="I52" i="3" a="1"/>
  <c r="I52" i="3" s="1"/>
  <c r="I51" i="3" a="1"/>
  <c r="I51" i="3" s="1"/>
  <c r="I50" i="3" a="1"/>
  <c r="I50" i="3" s="1"/>
  <c r="I49" i="3" a="1"/>
  <c r="I49" i="3" s="1"/>
  <c r="I48" i="3" a="1"/>
  <c r="I48" i="3" s="1"/>
  <c r="I47" i="3" a="1"/>
  <c r="I47" i="3" s="1"/>
  <c r="I46" i="3" a="1"/>
  <c r="I46" i="3" s="1"/>
  <c r="I45" i="3" a="1"/>
  <c r="I45" i="3" s="1"/>
  <c r="I44" i="3" a="1"/>
  <c r="I44" i="3" s="1"/>
  <c r="I43" i="3" a="1"/>
  <c r="I43" i="3" s="1"/>
  <c r="I42" i="3" a="1"/>
  <c r="I42" i="3" s="1"/>
  <c r="I41" i="3" a="1"/>
  <c r="I41" i="3" s="1"/>
  <c r="I40" i="3" a="1"/>
  <c r="I40" i="3" s="1"/>
  <c r="I39" i="3" a="1"/>
  <c r="I39" i="3" s="1"/>
  <c r="I38" i="3" a="1"/>
  <c r="I38" i="3" s="1"/>
  <c r="I37" i="3" a="1"/>
  <c r="I37" i="3" s="1"/>
  <c r="I36" i="3" a="1"/>
  <c r="I36" i="3" s="1"/>
  <c r="I35" i="3" a="1"/>
  <c r="I35" i="3" s="1"/>
  <c r="I34" i="3" a="1"/>
  <c r="I34" i="3" s="1"/>
  <c r="I33" i="3" a="1"/>
  <c r="I33" i="3" s="1"/>
  <c r="I32" i="3" a="1"/>
  <c r="I32" i="3" s="1"/>
  <c r="I31" i="3" a="1"/>
  <c r="I31" i="3" s="1"/>
  <c r="I30" i="3" a="1"/>
  <c r="I30" i="3" s="1"/>
  <c r="I29" i="3" a="1"/>
  <c r="I29" i="3" s="1"/>
  <c r="I28" i="3" a="1"/>
  <c r="I28" i="3" s="1"/>
  <c r="I27" i="3" a="1"/>
  <c r="I27" i="3" s="1"/>
  <c r="I26" i="3" a="1"/>
  <c r="I26" i="3" s="1"/>
  <c r="I25" i="3" a="1"/>
  <c r="I25" i="3" s="1"/>
  <c r="I24" i="3" a="1"/>
  <c r="I24" i="3" s="1"/>
  <c r="I23" i="3" a="1"/>
  <c r="I23" i="3" s="1"/>
  <c r="I22" i="3" a="1"/>
  <c r="I22" i="3" s="1"/>
  <c r="I21" i="3" a="1"/>
  <c r="I21" i="3" s="1"/>
  <c r="I20" i="3" a="1"/>
  <c r="I20" i="3" s="1"/>
  <c r="I19" i="3" a="1"/>
  <c r="I19" i="3" s="1"/>
  <c r="I18" i="3" a="1"/>
  <c r="I18" i="3" s="1"/>
  <c r="I17" i="3" a="1"/>
  <c r="I17" i="3" s="1"/>
  <c r="I16" i="3" a="1"/>
  <c r="I16" i="3" s="1"/>
  <c r="I15" i="3" a="1"/>
  <c r="I15" i="3" s="1"/>
  <c r="I14" i="3" a="1"/>
  <c r="I14" i="3" s="1"/>
  <c r="I13" i="3" a="1"/>
  <c r="I13" i="3" s="1"/>
  <c r="I12" i="3" a="1"/>
  <c r="I12" i="3" s="1"/>
  <c r="I11" i="3" a="1"/>
  <c r="I11" i="3" s="1"/>
  <c r="I10" i="3" a="1"/>
  <c r="I10" i="3" s="1"/>
  <c r="I9" i="3" a="1"/>
  <c r="I9" i="3" s="1"/>
  <c r="I8" i="3" a="1"/>
  <c r="I8" i="3" s="1"/>
  <c r="I7" i="3" a="1"/>
  <c r="I7" i="3" s="1"/>
  <c r="I6" i="3" a="1"/>
  <c r="I6" i="3" s="1"/>
  <c r="I5" i="3" a="1"/>
  <c r="I5" i="3" s="1"/>
  <c r="I4" i="3" a="1"/>
  <c r="I4" i="3" s="1"/>
  <c r="I3" i="3" a="1"/>
  <c r="I3" i="3" s="1"/>
  <c r="I2" i="3" a="1"/>
  <c r="I2" i="3" s="1"/>
  <c r="I97" i="2" a="1"/>
  <c r="I97" i="2" s="1"/>
  <c r="I96" i="2" a="1"/>
  <c r="I96" i="2" s="1"/>
  <c r="I95" i="2" a="1"/>
  <c r="I95" i="2" s="1"/>
  <c r="I94" i="2" a="1"/>
  <c r="I94" i="2" s="1"/>
  <c r="I93" i="2" a="1"/>
  <c r="I93" i="2" s="1"/>
  <c r="I92" i="2" a="1"/>
  <c r="I92" i="2" s="1"/>
  <c r="I91" i="2" a="1"/>
  <c r="I91" i="2" s="1"/>
  <c r="I90" i="2" a="1"/>
  <c r="I90" i="2" s="1"/>
  <c r="I89" i="2" a="1"/>
  <c r="I89" i="2" s="1"/>
  <c r="I88" i="2" a="1"/>
  <c r="I88" i="2" s="1"/>
  <c r="I87" i="2" a="1"/>
  <c r="I87" i="2" s="1"/>
  <c r="I86" i="2" a="1"/>
  <c r="I86" i="2" s="1"/>
  <c r="I85" i="2" a="1"/>
  <c r="I85" i="2" s="1"/>
  <c r="I84" i="2" a="1"/>
  <c r="I84" i="2" s="1"/>
  <c r="I83" i="2" a="1"/>
  <c r="I83" i="2" s="1"/>
  <c r="I82" i="2" a="1"/>
  <c r="I82" i="2" s="1"/>
  <c r="I81" i="2" a="1"/>
  <c r="I81" i="2" s="1"/>
  <c r="I80" i="2" a="1"/>
  <c r="I80" i="2" s="1"/>
  <c r="I79" i="2" a="1"/>
  <c r="I79" i="2" s="1"/>
  <c r="I78" i="2" a="1"/>
  <c r="I78" i="2" s="1"/>
  <c r="I77" i="2" a="1"/>
  <c r="I77" i="2" s="1"/>
  <c r="I76" i="2" a="1"/>
  <c r="I76" i="2" s="1"/>
  <c r="I75" i="2" a="1"/>
  <c r="I75" i="2" s="1"/>
  <c r="I74" i="2" a="1"/>
  <c r="I74" i="2" s="1"/>
  <c r="I73" i="2" a="1"/>
  <c r="I73" i="2" s="1"/>
  <c r="I72" i="2" a="1"/>
  <c r="I72" i="2" s="1"/>
  <c r="I71" i="2" a="1"/>
  <c r="I71" i="2" s="1"/>
  <c r="I70" i="2" a="1"/>
  <c r="I70" i="2" s="1"/>
  <c r="I69" i="2" a="1"/>
  <c r="I69" i="2" s="1"/>
  <c r="I68" i="2" a="1"/>
  <c r="I68" i="2" s="1"/>
  <c r="I67" i="2" a="1"/>
  <c r="I67" i="2" s="1"/>
  <c r="I66" i="2" a="1"/>
  <c r="I66" i="2" s="1"/>
  <c r="I65" i="2" a="1"/>
  <c r="I65" i="2" s="1"/>
  <c r="I64" i="2" a="1"/>
  <c r="I64" i="2" s="1"/>
  <c r="I63" i="2" a="1"/>
  <c r="I63" i="2" s="1"/>
  <c r="I62" i="2" a="1"/>
  <c r="I62" i="2" s="1"/>
  <c r="I61" i="2" a="1"/>
  <c r="I61" i="2" s="1"/>
  <c r="I60" i="2" a="1"/>
  <c r="I60" i="2" s="1"/>
  <c r="I59" i="2" a="1"/>
  <c r="I59" i="2" s="1"/>
  <c r="I58" i="2" a="1"/>
  <c r="I58" i="2" s="1"/>
  <c r="I57" i="2" a="1"/>
  <c r="I57" i="2" s="1"/>
  <c r="I56" i="2" a="1"/>
  <c r="I56" i="2" s="1"/>
  <c r="I55" i="2" a="1"/>
  <c r="I55" i="2" s="1"/>
  <c r="I54" i="2" a="1"/>
  <c r="I54" i="2" s="1"/>
  <c r="I53" i="2" a="1"/>
  <c r="I53" i="2" s="1"/>
  <c r="I52" i="2" a="1"/>
  <c r="I52" i="2" s="1"/>
  <c r="I51" i="2" a="1"/>
  <c r="I51" i="2" s="1"/>
  <c r="I50" i="2" a="1"/>
  <c r="I50" i="2" s="1"/>
  <c r="I49" i="2" a="1"/>
  <c r="I49" i="2" s="1"/>
  <c r="I48" i="2" a="1"/>
  <c r="I48" i="2" s="1"/>
  <c r="I47" i="2" a="1"/>
  <c r="I47" i="2" s="1"/>
  <c r="I46" i="2" a="1"/>
  <c r="I46" i="2" s="1"/>
  <c r="I45" i="2" a="1"/>
  <c r="I45" i="2" s="1"/>
  <c r="I44" i="2" a="1"/>
  <c r="I44" i="2" s="1"/>
  <c r="I43" i="2" a="1"/>
  <c r="I43" i="2" s="1"/>
  <c r="I42" i="2" a="1"/>
  <c r="I42" i="2" s="1"/>
  <c r="I41" i="2" a="1"/>
  <c r="I41" i="2" s="1"/>
  <c r="I40" i="2" a="1"/>
  <c r="I40" i="2" s="1"/>
  <c r="I39" i="2" a="1"/>
  <c r="I39" i="2" s="1"/>
  <c r="I38" i="2" a="1"/>
  <c r="I38" i="2" s="1"/>
  <c r="I37" i="2" a="1"/>
  <c r="I37" i="2" s="1"/>
  <c r="I36" i="2" a="1"/>
  <c r="I36" i="2" s="1"/>
  <c r="I35" i="2" a="1"/>
  <c r="I35" i="2" s="1"/>
  <c r="I34" i="2" a="1"/>
  <c r="I34" i="2" s="1"/>
  <c r="I33" i="2" a="1"/>
  <c r="I33" i="2" s="1"/>
  <c r="I32" i="2" a="1"/>
  <c r="I32" i="2" s="1"/>
  <c r="I31" i="2" a="1"/>
  <c r="I31" i="2" s="1"/>
  <c r="I30" i="2" a="1"/>
  <c r="I30" i="2" s="1"/>
  <c r="I29" i="2" a="1"/>
  <c r="I29" i="2" s="1"/>
  <c r="I28" i="2" a="1"/>
  <c r="I28" i="2" s="1"/>
  <c r="I27" i="2" a="1"/>
  <c r="I27" i="2" s="1"/>
  <c r="I26" i="2" a="1"/>
  <c r="I26" i="2" s="1"/>
  <c r="I25" i="2" a="1"/>
  <c r="I25" i="2" s="1"/>
  <c r="I24" i="2" a="1"/>
  <c r="I24" i="2" s="1"/>
  <c r="I23" i="2" a="1"/>
  <c r="I23" i="2" s="1"/>
  <c r="I22" i="2" a="1"/>
  <c r="I22" i="2" s="1"/>
  <c r="I21" i="2" a="1"/>
  <c r="I21" i="2" s="1"/>
  <c r="I20" i="2" a="1"/>
  <c r="I20" i="2" s="1"/>
  <c r="I19" i="2" a="1"/>
  <c r="I19" i="2" s="1"/>
  <c r="I18" i="2" a="1"/>
  <c r="I18" i="2" s="1"/>
  <c r="I17" i="2" a="1"/>
  <c r="I17" i="2" s="1"/>
  <c r="I16" i="2" a="1"/>
  <c r="I16" i="2" s="1"/>
  <c r="I15" i="2" a="1"/>
  <c r="I15" i="2" s="1"/>
  <c r="I14" i="2" a="1"/>
  <c r="I14" i="2" s="1"/>
  <c r="I13" i="2" a="1"/>
  <c r="I13" i="2" s="1"/>
  <c r="I12" i="2" a="1"/>
  <c r="I12" i="2" s="1"/>
  <c r="I11" i="2" a="1"/>
  <c r="I11" i="2" s="1"/>
  <c r="I10" i="2" a="1"/>
  <c r="I10" i="2" s="1"/>
  <c r="I9" i="2" a="1"/>
  <c r="I9" i="2" s="1"/>
  <c r="I8" i="2" a="1"/>
  <c r="I8" i="2" s="1"/>
  <c r="I7" i="2" a="1"/>
  <c r="I7" i="2" s="1"/>
  <c r="I6" i="2" a="1"/>
  <c r="I6" i="2" s="1"/>
  <c r="I5" i="2" a="1"/>
  <c r="I5" i="2" s="1"/>
  <c r="I4" i="2" a="1"/>
  <c r="I4" i="2" s="1"/>
  <c r="I3" i="2" a="1"/>
  <c r="I3" i="2" s="1"/>
  <c r="I2" i="2" a="1"/>
  <c r="I2" i="2" s="1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2" i="1" a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<sst xmlns="http://schemas.openxmlformats.org/spreadsheetml/2006/main" count="6771" uniqueCount="187">
  <si>
    <t>Sales Report</t>
  </si>
  <si>
    <t>All Sales</t>
  </si>
  <si>
    <t>North</t>
  </si>
  <si>
    <t>South</t>
  </si>
  <si>
    <t>East</t>
  </si>
  <si>
    <t>West</t>
  </si>
  <si>
    <t>Copy of all Sales</t>
  </si>
  <si>
    <t>Chart</t>
  </si>
  <si>
    <t>Sales Analysis</t>
  </si>
  <si>
    <t>New Staff</t>
  </si>
  <si>
    <t>Month</t>
  </si>
  <si>
    <t>Employee</t>
  </si>
  <si>
    <t>First Name</t>
  </si>
  <si>
    <t>Last Name</t>
  </si>
  <si>
    <t>Sales Area</t>
  </si>
  <si>
    <t>Sales Amount</t>
  </si>
  <si>
    <t>Payment Type</t>
  </si>
  <si>
    <t>Targets</t>
  </si>
  <si>
    <t>Commissions</t>
  </si>
  <si>
    <t>Reza Jafari</t>
  </si>
  <si>
    <t>Reza</t>
  </si>
  <si>
    <t>Jafari</t>
  </si>
  <si>
    <t>Cash</t>
  </si>
  <si>
    <t>15000</t>
  </si>
  <si>
    <t>Bryan Maldonado</t>
  </si>
  <si>
    <t>Bryan</t>
  </si>
  <si>
    <t>Maldonado</t>
  </si>
  <si>
    <t>Credit Card</t>
  </si>
  <si>
    <t>On Account</t>
  </si>
  <si>
    <t>Ashley Almanza</t>
  </si>
  <si>
    <t>Ashley</t>
  </si>
  <si>
    <t>Almanza</t>
  </si>
  <si>
    <t>Derek Godwin</t>
  </si>
  <si>
    <t>Derek</t>
  </si>
  <si>
    <t>Godwin</t>
  </si>
  <si>
    <t>Chloe Fusaro</t>
  </si>
  <si>
    <t>Chloe</t>
  </si>
  <si>
    <t>Fusaro</t>
  </si>
  <si>
    <t>David Wilkinson</t>
  </si>
  <si>
    <t>David</t>
  </si>
  <si>
    <t>Wilkinson</t>
  </si>
  <si>
    <t>Olivia Cheung</t>
  </si>
  <si>
    <t>Olivia</t>
  </si>
  <si>
    <t>Cheung</t>
  </si>
  <si>
    <t>Jason Jackaki</t>
  </si>
  <si>
    <t>Jason</t>
  </si>
  <si>
    <t>Jackaki</t>
  </si>
  <si>
    <t>Annabel Mettick</t>
  </si>
  <si>
    <t>Annabel</t>
  </si>
  <si>
    <t>Mettick</t>
  </si>
  <si>
    <t>Emily Whelan</t>
  </si>
  <si>
    <t>Emily</t>
  </si>
  <si>
    <t>Whelan</t>
  </si>
  <si>
    <t>Nina McDonald</t>
  </si>
  <si>
    <t>Nina</t>
  </si>
  <si>
    <t>McDonald</t>
  </si>
  <si>
    <t>Ally Bryant</t>
  </si>
  <si>
    <t>Ally</t>
  </si>
  <si>
    <t>Bryant</t>
  </si>
  <si>
    <t>Josh Sutherland</t>
  </si>
  <si>
    <t>Josh</t>
  </si>
  <si>
    <t>Sutherland</t>
  </si>
  <si>
    <t>Spencer Cruz</t>
  </si>
  <si>
    <t>Spencer</t>
  </si>
  <si>
    <t>Cruz</t>
  </si>
  <si>
    <t>Gordon Beswick</t>
  </si>
  <si>
    <t>Gordon</t>
  </si>
  <si>
    <t>Beswick</t>
  </si>
  <si>
    <t>Sarah Gibbs</t>
  </si>
  <si>
    <t>Sarah</t>
  </si>
  <si>
    <t>Gibbs</t>
  </si>
  <si>
    <t>Cory Goodwin</t>
  </si>
  <si>
    <t>Cory</t>
  </si>
  <si>
    <t>Goodwin</t>
  </si>
  <si>
    <t>Tia Cruise</t>
  </si>
  <si>
    <t>Tia</t>
  </si>
  <si>
    <t>Cruise</t>
  </si>
  <si>
    <t>Charlotte Edwards</t>
  </si>
  <si>
    <t>Charlotte</t>
  </si>
  <si>
    <t>Edwards</t>
  </si>
  <si>
    <t>Jonah Seitz</t>
  </si>
  <si>
    <t>Jonah</t>
  </si>
  <si>
    <t>Seitz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</si>
  <si>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</si>
  <si>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</si>
  <si>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</si>
  <si>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</si>
  <si>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</si>
  <si>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</si>
  <si>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</si>
  <si>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</si>
  <si>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</si>
  <si>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</si>
  <si>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</si>
  <si>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</si>
  <si>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Totals</t>
  </si>
  <si>
    <t>Sales Total</t>
  </si>
  <si>
    <t>Commission Total</t>
  </si>
  <si>
    <t>Total</t>
  </si>
  <si>
    <t>Over/Under</t>
  </si>
  <si>
    <t>(All)</t>
  </si>
  <si>
    <t>Total Sales (€)</t>
  </si>
  <si>
    <t>% of Total Sales</t>
  </si>
  <si>
    <t>Grand Total</t>
  </si>
  <si>
    <t>Name</t>
  </si>
  <si>
    <t>Payroll Code</t>
  </si>
  <si>
    <t>Area Code</t>
  </si>
  <si>
    <t>BRITTANY_GAULT</t>
  </si>
  <si>
    <t>NE12192</t>
  </si>
  <si>
    <t>BRITTANY</t>
  </si>
  <si>
    <t>GAULT</t>
  </si>
  <si>
    <t>NICOLE_MAIER</t>
  </si>
  <si>
    <t>NE11021</t>
  </si>
  <si>
    <t>NICOLE</t>
  </si>
  <si>
    <t>MAIER</t>
  </si>
  <si>
    <t>CLAY_CORBIN</t>
  </si>
  <si>
    <t>NE10264</t>
  </si>
  <si>
    <t>CLAY</t>
  </si>
  <si>
    <t>CORBIN</t>
  </si>
  <si>
    <t>ASHLEY_DELANGE</t>
  </si>
  <si>
    <t>NE10305</t>
  </si>
  <si>
    <t>ASHLEY</t>
  </si>
  <si>
    <t>DELANGE</t>
  </si>
  <si>
    <t>JENNIFER_VAZQUEZ</t>
  </si>
  <si>
    <t>NE11114</t>
  </si>
  <si>
    <t>JENNIFER</t>
  </si>
  <si>
    <t>VAZQUEZ</t>
  </si>
  <si>
    <t>MANNY_WEBSTER</t>
  </si>
  <si>
    <t>NW10414</t>
  </si>
  <si>
    <t>MANNY</t>
  </si>
  <si>
    <t>WEBSTER</t>
  </si>
  <si>
    <t>LUKE_REDENBAUGH</t>
  </si>
  <si>
    <t>NW12041</t>
  </si>
  <si>
    <t>LUKE</t>
  </si>
  <si>
    <t>REDENBAUGH</t>
  </si>
  <si>
    <t>DEBBIE_GODOY</t>
  </si>
  <si>
    <t>NW11115</t>
  </si>
  <si>
    <t>DEBBIE</t>
  </si>
  <si>
    <t>GODOY</t>
  </si>
  <si>
    <t>ELIZABETH_LAMBERT</t>
  </si>
  <si>
    <t>NW11651</t>
  </si>
  <si>
    <t>ELIZABETH</t>
  </si>
  <si>
    <t>LAMBERT</t>
  </si>
  <si>
    <t>JOEL_JONES</t>
  </si>
  <si>
    <t>NW11838</t>
  </si>
  <si>
    <t>JOEL</t>
  </si>
  <si>
    <t>JONES</t>
  </si>
  <si>
    <t>EBONY_PANE</t>
  </si>
  <si>
    <t>SE11625</t>
  </si>
  <si>
    <t>EBONY</t>
  </si>
  <si>
    <t>PANE</t>
  </si>
  <si>
    <t>RILEY_SWEENY</t>
  </si>
  <si>
    <t>SE12053</t>
  </si>
  <si>
    <t>RILEY</t>
  </si>
  <si>
    <t>SWEENY</t>
  </si>
  <si>
    <t>ALEX_WARD</t>
  </si>
  <si>
    <t>SE10902</t>
  </si>
  <si>
    <t>ALEX</t>
  </si>
  <si>
    <t>WARD</t>
  </si>
  <si>
    <t>PAT_HANKS</t>
  </si>
  <si>
    <t>SE10360</t>
  </si>
  <si>
    <t>PAT</t>
  </si>
  <si>
    <t>HANKS</t>
  </si>
  <si>
    <t>JESSICA_CRAIG</t>
  </si>
  <si>
    <t>SE12143</t>
  </si>
  <si>
    <t>JESSICA</t>
  </si>
  <si>
    <t>CRAIG</t>
  </si>
  <si>
    <t>JAMIE_WELCH</t>
  </si>
  <si>
    <t>SW10859</t>
  </si>
  <si>
    <t>JAMIE</t>
  </si>
  <si>
    <t>WELCH</t>
  </si>
  <si>
    <t>DREW_WOMACK</t>
  </si>
  <si>
    <t>SW10377</t>
  </si>
  <si>
    <t>DREW</t>
  </si>
  <si>
    <t>WOMACK</t>
  </si>
  <si>
    <t>ANGELA_MACLEOD</t>
  </si>
  <si>
    <t>SW10649</t>
  </si>
  <si>
    <t>ANGELA</t>
  </si>
  <si>
    <t>MACLEOD</t>
  </si>
  <si>
    <t>KAREN_D'AGUILAR</t>
  </si>
  <si>
    <t>SW10604</t>
  </si>
  <si>
    <t>KAREN</t>
  </si>
  <si>
    <t>D'AGUILAR</t>
  </si>
  <si>
    <t>SAM_JESSUP</t>
  </si>
  <si>
    <t>SW10730</t>
  </si>
  <si>
    <t>SAM</t>
  </si>
  <si>
    <t>JESSUP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</si>
</sst>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£&quot;#,##0.00;[Red]\-&quot;£&quot;#,##0.00"/>
    <numFmt numFmtId="164" formatCode="_-[$€-2]\ * #,##0.00_-;\-[$€-2]\ * #,##0.00_-;_-[$€-2]\ * &quot;-&quot;??_-;_-@_-"/>
  </numFmts>
  <fonts count="5">
    <font>
      <sz val="11"/>
      <color theme="1"/>
      <name val="Calibri"/>
      <family val="2"/>
      <scheme val="minor"/>
    </font>
    <font>
      <sz val="10"/>
      <color theme="1"/>
      <name val="Cambria"/>
    </font>
    <font>
      <u/>
      <sz val="11"/>
      <color theme="10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9" fontId="0" fillId="0" borderId="0" xfId="0" applyNumberFormat="1"/>
    <xf numFmtId="0" fontId="0" fillId="0" borderId="0" xfId="0" applyAlignment="1">
      <alignment wrapText="1"/>
    </xf>
    <xf numFmtId="8" fontId="0" fillId="0" borderId="0" xfId="0" applyNumberFormat="1"/>
    <xf numFmtId="8" fontId="1" fillId="0" borderId="0" xfId="0" applyNumberFormat="1" applyFont="1" applyAlignment="1">
      <alignment horizontal="center" vertical="center"/>
    </xf>
    <xf numFmtId="0" fontId="0" fillId="0" borderId="0" xfId="0" pivotButton="1"/>
    <xf numFmtId="17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12" formatCode="&quot;£&quot;#,##0.00;[Red]\-&quot;£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12" formatCode="&quot;£&quot;#,##0.00;[Red]\-&quot;£&quot;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2" formatCode="0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numFmt numFmtId="22" formatCode="mmm\-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_-[$€-2]\ * #,##0.00_-;\-[$€-2]\ * #,##0.00_-;_-[$€-2]\ * &quot;-&quot;??_-;_-@_-"/>
    </dxf>
    <dxf>
      <numFmt numFmtId="164" formatCode="_-[$€-2]\ * #,##0.00_-;\-[$€-2]\ * #,##0.00_-;_-[$€-2]\ * &quot;-&quot;??_-;_-@_-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Sales Total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Chart!$A$2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Chart!$B$2</c:f>
              <c:numCache>
                <c:formatCode>General</c:formatCode>
                <c:ptCount val="1"/>
                <c:pt idx="0">
                  <c:v>7286551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53-48D7-85E6-17C70F66B87E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Commission Total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cat>
            <c:strRef>
              <c:f>Chart!$A$2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Chart!$C$2</c:f>
              <c:numCache>
                <c:formatCode>General</c:formatCode>
                <c:ptCount val="1"/>
                <c:pt idx="0">
                  <c:v>572080.04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53-48D7-85E6-17C70F66B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041096"/>
        <c:axId val="950047240"/>
      </c:barChart>
      <c:catAx>
        <c:axId val="950041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047240"/>
        <c:crosses val="autoZero"/>
        <c:auto val="1"/>
        <c:lblAlgn val="ctr"/>
        <c:lblOffset val="100"/>
        <c:noMultiLvlLbl val="0"/>
      </c:catAx>
      <c:valAx>
        <c:axId val="95004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041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2</xdr:row>
      <xdr:rowOff>57150</xdr:rowOff>
    </xdr:from>
    <xdr:to>
      <xdr:col>12</xdr:col>
      <xdr:colOff>114300</xdr:colOff>
      <xdr:row>16</xdr:row>
      <xdr:rowOff>133350</xdr:rowOff>
    </xdr:to>
    <xdr:graphicFrame macro="">
      <xdr:nvGraphicFramePr>
        <xdr:cNvPr id="3" name="Chart 2" descr="The Grafic" title="Column chart comparing total Sales and Commission for each area">
          <a:extLst>
            <a:ext uri="{FF2B5EF4-FFF2-40B4-BE49-F238E27FC236}">
              <a16:creationId xmlns:a16="http://schemas.microsoft.com/office/drawing/2014/main" id="{D8BC48D7-21E1-9CA5-C080-1638587EF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2</xdr:row>
      <xdr:rowOff>85725</xdr:rowOff>
    </xdr:from>
    <xdr:to>
      <xdr:col>6</xdr:col>
      <xdr:colOff>276225</xdr:colOff>
      <xdr:row>16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mployee">
              <a:extLst>
                <a:ext uri="{FF2B5EF4-FFF2-40B4-BE49-F238E27FC236}">
                  <a16:creationId xmlns:a16="http://schemas.microsoft.com/office/drawing/2014/main" id="{121F85FD-0F6F-EB86-65A2-79268C8BA2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loye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9425" y="466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571500</xdr:colOff>
      <xdr:row>2</xdr:row>
      <xdr:rowOff>123825</xdr:rowOff>
    </xdr:from>
    <xdr:to>
      <xdr:col>9</xdr:col>
      <xdr:colOff>571500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ales Area">
              <a:extLst>
                <a:ext uri="{FF2B5EF4-FFF2-40B4-BE49-F238E27FC236}">
                  <a16:creationId xmlns:a16="http://schemas.microsoft.com/office/drawing/2014/main" id="{4BA98E12-8EB9-C05E-E374-7F77265CF5CE}"/>
                </a:ext>
                <a:ext uri="{147F2762-F138-4A5C-976F-8EAC2B608ADB}">
                  <a16:predDERef xmlns:a16="http://schemas.microsoft.com/office/drawing/2014/main" pred="{121F85FD-0F6F-EB86-65A2-79268C8BA2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A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43500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Midge/Documents/Work/SureSkills/Coursera/data%20block.xlsx" TargetMode="External"/><Relationship Id="rId1" Type="http://schemas.openxmlformats.org/officeDocument/2006/relationships/externalLinkPath" Target="/Users/Midge/Documents/Work/SureSkills/Coursera/data%20blo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2.410513078707" createdVersion="8" refreshedVersion="8" minRefreshableVersion="3" recordCount="389" xr:uid="{F8AE097E-7B01-472C-9A83-BA8DE2283704}">
  <cacheSource type="worksheet">
    <worksheetSource ref="A1:I390" sheet="All Sales"/>
  </cacheSource>
  <cacheFields count="9">
    <cacheField name="Month" numFmtId="17">
      <sharedItems containsSemiMixedTypes="0" containsNonDate="0" containsDate="1" containsString="0" minDate="2021-01-01T00:00:00" maxDate="2021-12-02T00:00:00" count="12"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</sharedItems>
    </cacheField>
    <cacheField name="Employee" numFmtId="49">
      <sharedItems count="20">
        <s v="Reza Jafari"/>
        <s v="Bryan Maldonado"/>
        <s v="Ashley Almanza"/>
        <s v="Derek Godwin"/>
        <s v="Chloe Fusaro"/>
        <s v="David Wilkinson"/>
        <s v="Olivia Cheung"/>
        <s v="Jason Jackaki"/>
        <s v="Annabel Mettick"/>
        <s v="Emily Whelan"/>
        <s v="Nina McDonald"/>
        <s v="Ally Bryant"/>
        <s v="Josh Sutherland"/>
        <s v="Spencer Cruz"/>
        <s v="Gordon Beswick"/>
        <s v="Sarah Gibbs"/>
        <s v="Cory Goodwin"/>
        <s v="Tia Cruise"/>
        <s v="Charlotte Edwards"/>
        <s v="Jonah Seitz"/>
      </sharedItems>
    </cacheField>
    <cacheField name="First Name" numFmtId="49">
      <sharedItems/>
    </cacheField>
    <cacheField name="Last Name" numFmtId="49">
      <sharedItems/>
    </cacheField>
    <cacheField name="Sales Area" numFmtId="49">
      <sharedItems count="4">
        <s v="East"/>
        <s v="North"/>
        <s v="South"/>
        <s v="West"/>
      </sharedItems>
    </cacheField>
    <cacheField name="Sales Amount" numFmtId="2">
      <sharedItems containsSemiMixedTypes="0" containsString="0" containsNumber="1" minValue="2070.2999999999997" maxValue="51531.199999999997"/>
    </cacheField>
    <cacheField name="Payment Type" numFmtId="49">
      <sharedItems count="3">
        <s v="Cash"/>
        <s v="Credit Card"/>
        <s v="On Account"/>
      </sharedItems>
    </cacheField>
    <cacheField name="Targets" numFmtId="0">
      <sharedItems containsMixedTypes="1" containsNumber="1" containsInteger="1" minValue="15000" maxValue="15000"/>
    </cacheField>
    <cacheField name="Commissions" numFmtId="2">
      <sharedItems containsSemiMixedTypes="0" containsString="0" containsNumber="1" minValue="0" maxValue="5153.12"/>
    </cacheField>
  </cacheFields>
  <extLst>
    <ext xmlns:x14="http://schemas.microsoft.com/office/spreadsheetml/2009/9/main" uri="{725AE2AE-9491-48be-B2B4-4EB974FC3084}">
      <x14:pivotCacheDefinition pivotCacheId="12532057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9">
  <r>
    <x v="0"/>
    <x v="0"/>
    <s v="Reza"/>
    <s v="Jafari"/>
    <x v="0"/>
    <n v="2954.7"/>
    <x v="0"/>
    <s v="15000"/>
    <n v="0"/>
  </r>
  <r>
    <x v="0"/>
    <x v="1"/>
    <s v="Bryan"/>
    <s v="Maldonado"/>
    <x v="0"/>
    <n v="6796.7999999999993"/>
    <x v="1"/>
    <n v="15000"/>
    <n v="0"/>
  </r>
  <r>
    <x v="0"/>
    <x v="1"/>
    <s v="Bryan"/>
    <s v="Maldonado"/>
    <x v="0"/>
    <n v="8188"/>
    <x v="2"/>
    <n v="15000"/>
    <n v="0"/>
  </r>
  <r>
    <x v="0"/>
    <x v="0"/>
    <s v="Reza"/>
    <s v="Jafari"/>
    <x v="0"/>
    <n v="9058.4"/>
    <x v="1"/>
    <n v="15000"/>
    <n v="0"/>
  </r>
  <r>
    <x v="0"/>
    <x v="1"/>
    <s v="Bryan"/>
    <s v="Maldonado"/>
    <x v="0"/>
    <n v="12096"/>
    <x v="2"/>
    <n v="15000"/>
    <n v="0"/>
  </r>
  <r>
    <x v="0"/>
    <x v="2"/>
    <s v="Ashley"/>
    <s v="Almanza"/>
    <x v="0"/>
    <n v="15029"/>
    <x v="0"/>
    <n v="15000"/>
    <n v="1502.9"/>
  </r>
  <r>
    <x v="0"/>
    <x v="2"/>
    <s v="Ashley"/>
    <s v="Almanza"/>
    <x v="0"/>
    <n v="15264"/>
    <x v="0"/>
    <n v="15000"/>
    <n v="1526.4"/>
  </r>
  <r>
    <x v="0"/>
    <x v="2"/>
    <s v="Ashley"/>
    <s v="Almanza"/>
    <x v="0"/>
    <n v="17353.599999999999"/>
    <x v="1"/>
    <n v="15000"/>
    <n v="1735.36"/>
  </r>
  <r>
    <x v="0"/>
    <x v="3"/>
    <s v="Derek"/>
    <s v="Godwin"/>
    <x v="0"/>
    <n v="20140"/>
    <x v="2"/>
    <n v="15000"/>
    <n v="2014"/>
  </r>
  <r>
    <x v="0"/>
    <x v="3"/>
    <s v="Derek"/>
    <s v="Godwin"/>
    <x v="0"/>
    <n v="35649"/>
    <x v="1"/>
    <n v="15000"/>
    <n v="3564.9"/>
  </r>
  <r>
    <x v="0"/>
    <x v="4"/>
    <s v="Chloe"/>
    <s v="Fusaro"/>
    <x v="1"/>
    <n v="13310.4"/>
    <x v="1"/>
    <n v="15000"/>
    <n v="0"/>
  </r>
  <r>
    <x v="0"/>
    <x v="5"/>
    <s v="David"/>
    <s v="Wilkinson"/>
    <x v="1"/>
    <n v="20366.100000000002"/>
    <x v="2"/>
    <n v="15000"/>
    <n v="2036.6100000000004"/>
  </r>
  <r>
    <x v="0"/>
    <x v="5"/>
    <s v="David"/>
    <s v="Wilkinson"/>
    <x v="1"/>
    <n v="20880"/>
    <x v="1"/>
    <n v="15000"/>
    <n v="2088"/>
  </r>
  <r>
    <x v="0"/>
    <x v="4"/>
    <s v="Chloe"/>
    <s v="Fusaro"/>
    <x v="1"/>
    <n v="23076.199999999997"/>
    <x v="1"/>
    <n v="15000"/>
    <n v="2307.62"/>
  </r>
  <r>
    <x v="0"/>
    <x v="4"/>
    <s v="Chloe"/>
    <s v="Fusaro"/>
    <x v="1"/>
    <n v="25560"/>
    <x v="1"/>
    <n v="15000"/>
    <n v="2556"/>
  </r>
  <r>
    <x v="0"/>
    <x v="6"/>
    <s v="Olivia"/>
    <s v="Cheung"/>
    <x v="2"/>
    <n v="3008.3999999999996"/>
    <x v="0"/>
    <n v="15000"/>
    <n v="0"/>
  </r>
  <r>
    <x v="0"/>
    <x v="7"/>
    <s v="Jason"/>
    <s v="Jackaki"/>
    <x v="2"/>
    <n v="7221.5999999999995"/>
    <x v="2"/>
    <n v="15000"/>
    <n v="0"/>
  </r>
  <r>
    <x v="0"/>
    <x v="6"/>
    <s v="Olivia"/>
    <s v="Cheung"/>
    <x v="2"/>
    <n v="10903.199999999999"/>
    <x v="0"/>
    <n v="15000"/>
    <n v="0"/>
  </r>
  <r>
    <x v="0"/>
    <x v="8"/>
    <s v="Annabel"/>
    <s v="Mettick"/>
    <x v="2"/>
    <n v="14616"/>
    <x v="0"/>
    <n v="15000"/>
    <n v="0"/>
  </r>
  <r>
    <x v="0"/>
    <x v="9"/>
    <s v="Emily"/>
    <s v="Whelan"/>
    <x v="2"/>
    <n v="18885.900000000001"/>
    <x v="2"/>
    <n v="15000"/>
    <n v="1888.5900000000001"/>
  </r>
  <r>
    <x v="0"/>
    <x v="9"/>
    <s v="Emily"/>
    <s v="Whelan"/>
    <x v="2"/>
    <n v="24236"/>
    <x v="1"/>
    <n v="15000"/>
    <n v="2423.6"/>
  </r>
  <r>
    <x v="0"/>
    <x v="10"/>
    <s v="Nina"/>
    <s v="McDonald"/>
    <x v="3"/>
    <n v="6945.4"/>
    <x v="2"/>
    <n v="15000"/>
    <n v="0"/>
  </r>
  <r>
    <x v="0"/>
    <x v="10"/>
    <s v="Nina"/>
    <s v="McDonald"/>
    <x v="3"/>
    <n v="7658.2000000000007"/>
    <x v="2"/>
    <n v="15000"/>
    <n v="0"/>
  </r>
  <r>
    <x v="0"/>
    <x v="11"/>
    <s v="Ally"/>
    <s v="Bryant"/>
    <x v="3"/>
    <n v="7658.5999999999985"/>
    <x v="0"/>
    <n v="15000"/>
    <n v="0"/>
  </r>
  <r>
    <x v="0"/>
    <x v="12"/>
    <s v="Josh"/>
    <s v="Sutherland"/>
    <x v="3"/>
    <n v="9098.6"/>
    <x v="2"/>
    <n v="15000"/>
    <n v="0"/>
  </r>
  <r>
    <x v="0"/>
    <x v="10"/>
    <s v="Nina"/>
    <s v="McDonald"/>
    <x v="3"/>
    <n v="10019.199999999999"/>
    <x v="2"/>
    <n v="15000"/>
    <n v="0"/>
  </r>
  <r>
    <x v="0"/>
    <x v="11"/>
    <s v="Ally"/>
    <s v="Bryant"/>
    <x v="3"/>
    <n v="10176"/>
    <x v="0"/>
    <n v="15000"/>
    <n v="0"/>
  </r>
  <r>
    <x v="0"/>
    <x v="12"/>
    <s v="Josh"/>
    <s v="Sutherland"/>
    <x v="3"/>
    <n v="16385.600000000002"/>
    <x v="1"/>
    <n v="15000"/>
    <n v="1638.5600000000004"/>
  </r>
  <r>
    <x v="0"/>
    <x v="11"/>
    <s v="Ally"/>
    <s v="Bryant"/>
    <x v="3"/>
    <n v="19108"/>
    <x v="0"/>
    <n v="15000"/>
    <n v="1910.8000000000002"/>
  </r>
  <r>
    <x v="0"/>
    <x v="10"/>
    <s v="Nina"/>
    <s v="McDonald"/>
    <x v="3"/>
    <n v="19456"/>
    <x v="1"/>
    <n v="15000"/>
    <n v="1945.6000000000001"/>
  </r>
  <r>
    <x v="0"/>
    <x v="13"/>
    <s v="Spencer"/>
    <s v="Cruz"/>
    <x v="3"/>
    <n v="31127.199999999997"/>
    <x v="2"/>
    <n v="15000"/>
    <n v="3112.72"/>
  </r>
  <r>
    <x v="0"/>
    <x v="13"/>
    <s v="Spencer"/>
    <s v="Cruz"/>
    <x v="3"/>
    <n v="36372.1"/>
    <x v="1"/>
    <n v="15000"/>
    <n v="3637.21"/>
  </r>
  <r>
    <x v="0"/>
    <x v="11"/>
    <s v="Ally"/>
    <s v="Bryant"/>
    <x v="3"/>
    <n v="39186"/>
    <x v="0"/>
    <n v="15000"/>
    <n v="3918.6000000000004"/>
  </r>
  <r>
    <x v="0"/>
    <x v="13"/>
    <s v="Spencer"/>
    <s v="Cruz"/>
    <x v="3"/>
    <n v="46715.999999999993"/>
    <x v="1"/>
    <n v="15000"/>
    <n v="4671.5999999999995"/>
  </r>
  <r>
    <x v="1"/>
    <x v="14"/>
    <s v="Gordon"/>
    <s v="Beswick"/>
    <x v="0"/>
    <n v="7717.5"/>
    <x v="2"/>
    <n v="15000"/>
    <n v="0"/>
  </r>
  <r>
    <x v="1"/>
    <x v="14"/>
    <s v="Gordon"/>
    <s v="Beswick"/>
    <x v="0"/>
    <n v="11617.6"/>
    <x v="0"/>
    <n v="15000"/>
    <n v="0"/>
  </r>
  <r>
    <x v="1"/>
    <x v="3"/>
    <s v="Derek"/>
    <s v="Godwin"/>
    <x v="0"/>
    <n v="19431"/>
    <x v="0"/>
    <n v="15000"/>
    <n v="1943.1000000000001"/>
  </r>
  <r>
    <x v="1"/>
    <x v="2"/>
    <s v="Ashley"/>
    <s v="Almanza"/>
    <x v="0"/>
    <n v="21169.599999999999"/>
    <x v="0"/>
    <n v="15000"/>
    <n v="2116.96"/>
  </r>
  <r>
    <x v="1"/>
    <x v="0"/>
    <s v="Reza"/>
    <s v="Jafari"/>
    <x v="0"/>
    <n v="29158.400000000001"/>
    <x v="0"/>
    <n v="15000"/>
    <n v="2915.84"/>
  </r>
  <r>
    <x v="1"/>
    <x v="3"/>
    <s v="Derek"/>
    <s v="Godwin"/>
    <x v="0"/>
    <n v="30305"/>
    <x v="1"/>
    <n v="15000"/>
    <n v="3030.5"/>
  </r>
  <r>
    <x v="1"/>
    <x v="14"/>
    <s v="Gordon"/>
    <s v="Beswick"/>
    <x v="0"/>
    <n v="43184.399999999994"/>
    <x v="2"/>
    <n v="15000"/>
    <n v="4318.4399999999996"/>
  </r>
  <r>
    <x v="1"/>
    <x v="5"/>
    <s v="David"/>
    <s v="Wilkinson"/>
    <x v="1"/>
    <n v="13479.400000000001"/>
    <x v="2"/>
    <n v="15000"/>
    <n v="0"/>
  </r>
  <r>
    <x v="1"/>
    <x v="4"/>
    <s v="Chloe"/>
    <s v="Fusaro"/>
    <x v="1"/>
    <n v="16604.400000000001"/>
    <x v="0"/>
    <n v="15000"/>
    <n v="1660.4400000000003"/>
  </r>
  <r>
    <x v="1"/>
    <x v="15"/>
    <s v="Sarah"/>
    <s v="Gibbs"/>
    <x v="1"/>
    <n v="22176"/>
    <x v="0"/>
    <n v="15000"/>
    <n v="2217.6"/>
  </r>
  <r>
    <x v="1"/>
    <x v="5"/>
    <s v="David"/>
    <s v="Wilkinson"/>
    <x v="1"/>
    <n v="24131.000000000004"/>
    <x v="0"/>
    <n v="15000"/>
    <n v="2413.1000000000004"/>
  </r>
  <r>
    <x v="1"/>
    <x v="4"/>
    <s v="Chloe"/>
    <s v="Fusaro"/>
    <x v="1"/>
    <n v="34353.5"/>
    <x v="0"/>
    <n v="15000"/>
    <n v="3435.3500000000004"/>
  </r>
  <r>
    <x v="1"/>
    <x v="8"/>
    <s v="Annabel"/>
    <s v="Mettick"/>
    <x v="2"/>
    <n v="3596"/>
    <x v="0"/>
    <n v="15000"/>
    <n v="0"/>
  </r>
  <r>
    <x v="1"/>
    <x v="16"/>
    <s v="Cory"/>
    <s v="Goodwin"/>
    <x v="2"/>
    <n v="6300"/>
    <x v="2"/>
    <n v="15000"/>
    <n v="0"/>
  </r>
  <r>
    <x v="1"/>
    <x v="8"/>
    <s v="Annabel"/>
    <s v="Mettick"/>
    <x v="2"/>
    <n v="6804"/>
    <x v="1"/>
    <n v="15000"/>
    <n v="0"/>
  </r>
  <r>
    <x v="1"/>
    <x v="7"/>
    <s v="Jason"/>
    <s v="Jackaki"/>
    <x v="2"/>
    <n v="8524.4000000000015"/>
    <x v="2"/>
    <n v="15000"/>
    <n v="0"/>
  </r>
  <r>
    <x v="1"/>
    <x v="8"/>
    <s v="Annabel"/>
    <s v="Mettick"/>
    <x v="2"/>
    <n v="8772"/>
    <x v="2"/>
    <n v="15000"/>
    <n v="0"/>
  </r>
  <r>
    <x v="1"/>
    <x v="8"/>
    <s v="Annabel"/>
    <s v="Mettick"/>
    <x v="2"/>
    <n v="17328.300000000003"/>
    <x v="2"/>
    <n v="15000"/>
    <n v="1732.8300000000004"/>
  </r>
  <r>
    <x v="1"/>
    <x v="16"/>
    <s v="Cory"/>
    <s v="Goodwin"/>
    <x v="2"/>
    <n v="21438.899999999998"/>
    <x v="1"/>
    <n v="15000"/>
    <n v="2143.89"/>
  </r>
  <r>
    <x v="1"/>
    <x v="7"/>
    <s v="Jason"/>
    <s v="Jackaki"/>
    <x v="2"/>
    <n v="26556.799999999999"/>
    <x v="0"/>
    <n v="15000"/>
    <n v="2655.6800000000003"/>
  </r>
  <r>
    <x v="1"/>
    <x v="7"/>
    <s v="Jason"/>
    <s v="Jackaki"/>
    <x v="2"/>
    <n v="33132.600000000006"/>
    <x v="2"/>
    <n v="15000"/>
    <n v="3313.2600000000007"/>
  </r>
  <r>
    <x v="1"/>
    <x v="10"/>
    <s v="Nina"/>
    <s v="McDonald"/>
    <x v="3"/>
    <n v="4531"/>
    <x v="2"/>
    <n v="15000"/>
    <n v="0"/>
  </r>
  <r>
    <x v="1"/>
    <x v="17"/>
    <s v="Tia"/>
    <s v="Cruise"/>
    <x v="3"/>
    <n v="6751.7999999999993"/>
    <x v="0"/>
    <n v="15000"/>
    <n v="0"/>
  </r>
  <r>
    <x v="1"/>
    <x v="10"/>
    <s v="Nina"/>
    <s v="McDonald"/>
    <x v="3"/>
    <n v="7343.2000000000007"/>
    <x v="0"/>
    <n v="15000"/>
    <n v="0"/>
  </r>
  <r>
    <x v="1"/>
    <x v="10"/>
    <s v="Nina"/>
    <s v="McDonald"/>
    <x v="3"/>
    <n v="7356.5999999999995"/>
    <x v="1"/>
    <n v="15000"/>
    <n v="0"/>
  </r>
  <r>
    <x v="1"/>
    <x v="17"/>
    <s v="Tia"/>
    <s v="Cruise"/>
    <x v="3"/>
    <n v="17748"/>
    <x v="1"/>
    <n v="15000"/>
    <n v="1774.8000000000002"/>
  </r>
  <r>
    <x v="1"/>
    <x v="10"/>
    <s v="Nina"/>
    <s v="McDonald"/>
    <x v="3"/>
    <n v="28395.5"/>
    <x v="2"/>
    <n v="15000"/>
    <n v="2839.55"/>
  </r>
  <r>
    <x v="1"/>
    <x v="11"/>
    <s v="Ally"/>
    <s v="Bryant"/>
    <x v="3"/>
    <n v="41429.5"/>
    <x v="0"/>
    <n v="15000"/>
    <n v="4142.95"/>
  </r>
  <r>
    <x v="2"/>
    <x v="3"/>
    <s v="Derek"/>
    <s v="Godwin"/>
    <x v="0"/>
    <n v="2311.5"/>
    <x v="0"/>
    <n v="15000"/>
    <n v="0"/>
  </r>
  <r>
    <x v="2"/>
    <x v="14"/>
    <s v="Gordon"/>
    <s v="Beswick"/>
    <x v="0"/>
    <n v="3013.5"/>
    <x v="0"/>
    <n v="15000"/>
    <n v="0"/>
  </r>
  <r>
    <x v="2"/>
    <x v="14"/>
    <s v="Gordon"/>
    <s v="Beswick"/>
    <x v="0"/>
    <n v="5287.5"/>
    <x v="0"/>
    <n v="15000"/>
    <n v="0"/>
  </r>
  <r>
    <x v="2"/>
    <x v="0"/>
    <s v="Reza"/>
    <s v="Jafari"/>
    <x v="0"/>
    <n v="13797"/>
    <x v="1"/>
    <n v="15000"/>
    <n v="0"/>
  </r>
  <r>
    <x v="2"/>
    <x v="1"/>
    <s v="Bryan"/>
    <s v="Maldonado"/>
    <x v="0"/>
    <n v="14063"/>
    <x v="0"/>
    <n v="15000"/>
    <n v="0"/>
  </r>
  <r>
    <x v="2"/>
    <x v="0"/>
    <s v="Reza"/>
    <s v="Jafari"/>
    <x v="0"/>
    <n v="14608.300000000001"/>
    <x v="1"/>
    <n v="15000"/>
    <n v="0"/>
  </r>
  <r>
    <x v="2"/>
    <x v="14"/>
    <s v="Gordon"/>
    <s v="Beswick"/>
    <x v="0"/>
    <n v="16063.199999999999"/>
    <x v="0"/>
    <n v="15000"/>
    <n v="1606.32"/>
  </r>
  <r>
    <x v="2"/>
    <x v="3"/>
    <s v="Derek"/>
    <s v="Godwin"/>
    <x v="0"/>
    <n v="16836"/>
    <x v="1"/>
    <n v="15000"/>
    <n v="1683.6000000000001"/>
  </r>
  <r>
    <x v="2"/>
    <x v="14"/>
    <s v="Gordon"/>
    <s v="Beswick"/>
    <x v="0"/>
    <n v="19594"/>
    <x v="2"/>
    <n v="15000"/>
    <n v="1959.4"/>
  </r>
  <r>
    <x v="2"/>
    <x v="3"/>
    <s v="Derek"/>
    <s v="Godwin"/>
    <x v="0"/>
    <n v="21654.400000000001"/>
    <x v="0"/>
    <n v="15000"/>
    <n v="2165.44"/>
  </r>
  <r>
    <x v="2"/>
    <x v="1"/>
    <s v="Bryan"/>
    <s v="Maldonado"/>
    <x v="0"/>
    <n v="27930"/>
    <x v="1"/>
    <n v="15000"/>
    <n v="2793"/>
  </r>
  <r>
    <x v="2"/>
    <x v="2"/>
    <s v="Ashley"/>
    <s v="Almanza"/>
    <x v="0"/>
    <n v="39065.899999999994"/>
    <x v="0"/>
    <n v="15000"/>
    <n v="3906.5899999999997"/>
  </r>
  <r>
    <x v="2"/>
    <x v="14"/>
    <s v="Gordon"/>
    <s v="Beswick"/>
    <x v="0"/>
    <n v="44422"/>
    <x v="2"/>
    <n v="15000"/>
    <n v="4442.2"/>
  </r>
  <r>
    <x v="2"/>
    <x v="18"/>
    <s v="Charlotte"/>
    <s v="Edwards"/>
    <x v="1"/>
    <n v="7416.9"/>
    <x v="2"/>
    <n v="15000"/>
    <n v="0"/>
  </r>
  <r>
    <x v="2"/>
    <x v="19"/>
    <s v="Jonah"/>
    <s v="Seitz"/>
    <x v="1"/>
    <n v="8284.5"/>
    <x v="0"/>
    <n v="15000"/>
    <n v="0"/>
  </r>
  <r>
    <x v="2"/>
    <x v="4"/>
    <s v="Chloe"/>
    <s v="Fusaro"/>
    <x v="1"/>
    <n v="10758.7"/>
    <x v="0"/>
    <n v="15000"/>
    <n v="0"/>
  </r>
  <r>
    <x v="2"/>
    <x v="5"/>
    <s v="David"/>
    <s v="Wilkinson"/>
    <x v="1"/>
    <n v="12124.2"/>
    <x v="2"/>
    <n v="15000"/>
    <n v="0"/>
  </r>
  <r>
    <x v="2"/>
    <x v="18"/>
    <s v="Charlotte"/>
    <s v="Edwards"/>
    <x v="1"/>
    <n v="14391.999999999998"/>
    <x v="1"/>
    <n v="15000"/>
    <n v="0"/>
  </r>
  <r>
    <x v="2"/>
    <x v="19"/>
    <s v="Jonah"/>
    <s v="Seitz"/>
    <x v="1"/>
    <n v="15246"/>
    <x v="1"/>
    <n v="15000"/>
    <n v="1524.6000000000001"/>
  </r>
  <r>
    <x v="2"/>
    <x v="18"/>
    <s v="Charlotte"/>
    <s v="Edwards"/>
    <x v="1"/>
    <n v="17335.2"/>
    <x v="2"/>
    <n v="15000"/>
    <n v="1733.5200000000002"/>
  </r>
  <r>
    <x v="2"/>
    <x v="19"/>
    <s v="Jonah"/>
    <s v="Seitz"/>
    <x v="1"/>
    <n v="40831"/>
    <x v="1"/>
    <n v="15000"/>
    <n v="4083.1000000000004"/>
  </r>
  <r>
    <x v="2"/>
    <x v="8"/>
    <s v="Annabel"/>
    <s v="Mettick"/>
    <x v="2"/>
    <n v="6544.8"/>
    <x v="1"/>
    <n v="15000"/>
    <n v="0"/>
  </r>
  <r>
    <x v="2"/>
    <x v="7"/>
    <s v="Jason"/>
    <s v="Jackaki"/>
    <x v="2"/>
    <n v="11166.300000000001"/>
    <x v="0"/>
    <n v="15000"/>
    <n v="0"/>
  </r>
  <r>
    <x v="2"/>
    <x v="8"/>
    <s v="Annabel"/>
    <s v="Mettick"/>
    <x v="2"/>
    <n v="11403"/>
    <x v="0"/>
    <n v="15000"/>
    <n v="0"/>
  </r>
  <r>
    <x v="2"/>
    <x v="8"/>
    <s v="Annabel"/>
    <s v="Mettick"/>
    <x v="2"/>
    <n v="11554.400000000001"/>
    <x v="0"/>
    <n v="15000"/>
    <n v="0"/>
  </r>
  <r>
    <x v="2"/>
    <x v="6"/>
    <s v="Olivia"/>
    <s v="Cheung"/>
    <x v="2"/>
    <n v="12143.999999999998"/>
    <x v="0"/>
    <n v="15000"/>
    <n v="0"/>
  </r>
  <r>
    <x v="2"/>
    <x v="6"/>
    <s v="Olivia"/>
    <s v="Cheung"/>
    <x v="2"/>
    <n v="13244.7"/>
    <x v="1"/>
    <n v="15000"/>
    <n v="0"/>
  </r>
  <r>
    <x v="2"/>
    <x v="9"/>
    <s v="Emily"/>
    <s v="Whelan"/>
    <x v="2"/>
    <n v="23014.400000000001"/>
    <x v="1"/>
    <n v="15000"/>
    <n v="2301.44"/>
  </r>
  <r>
    <x v="2"/>
    <x v="6"/>
    <s v="Olivia"/>
    <s v="Cheung"/>
    <x v="2"/>
    <n v="26200"/>
    <x v="0"/>
    <n v="15000"/>
    <n v="2620"/>
  </r>
  <r>
    <x v="2"/>
    <x v="7"/>
    <s v="Jason"/>
    <s v="Jackaki"/>
    <x v="2"/>
    <n v="28286.399999999998"/>
    <x v="1"/>
    <n v="15000"/>
    <n v="2828.64"/>
  </r>
  <r>
    <x v="2"/>
    <x v="6"/>
    <s v="Olivia"/>
    <s v="Cheung"/>
    <x v="2"/>
    <n v="35715.4"/>
    <x v="0"/>
    <n v="15000"/>
    <n v="3571.5400000000004"/>
  </r>
  <r>
    <x v="2"/>
    <x v="13"/>
    <s v="Spencer"/>
    <s v="Cruz"/>
    <x v="3"/>
    <n v="6708.9"/>
    <x v="2"/>
    <n v="15000"/>
    <n v="0"/>
  </r>
  <r>
    <x v="2"/>
    <x v="12"/>
    <s v="Josh"/>
    <s v="Sutherland"/>
    <x v="3"/>
    <n v="7982.7"/>
    <x v="2"/>
    <n v="15000"/>
    <n v="0"/>
  </r>
  <r>
    <x v="2"/>
    <x v="11"/>
    <s v="Ally"/>
    <s v="Bryant"/>
    <x v="3"/>
    <n v="8694"/>
    <x v="1"/>
    <n v="15000"/>
    <n v="0"/>
  </r>
  <r>
    <x v="2"/>
    <x v="11"/>
    <s v="Ally"/>
    <s v="Bryant"/>
    <x v="3"/>
    <n v="9116"/>
    <x v="1"/>
    <n v="15000"/>
    <n v="0"/>
  </r>
  <r>
    <x v="2"/>
    <x v="12"/>
    <s v="Josh"/>
    <s v="Sutherland"/>
    <x v="3"/>
    <n v="10110.299999999999"/>
    <x v="1"/>
    <n v="15000"/>
    <n v="0"/>
  </r>
  <r>
    <x v="2"/>
    <x v="10"/>
    <s v="Nina"/>
    <s v="McDonald"/>
    <x v="3"/>
    <n v="10451.199999999999"/>
    <x v="1"/>
    <n v="15000"/>
    <n v="0"/>
  </r>
  <r>
    <x v="2"/>
    <x v="10"/>
    <s v="Nina"/>
    <s v="McDonald"/>
    <x v="3"/>
    <n v="11580.4"/>
    <x v="0"/>
    <n v="15000"/>
    <n v="0"/>
  </r>
  <r>
    <x v="2"/>
    <x v="11"/>
    <s v="Ally"/>
    <s v="Bryant"/>
    <x v="3"/>
    <n v="14329.5"/>
    <x v="1"/>
    <n v="15000"/>
    <n v="0"/>
  </r>
  <r>
    <x v="2"/>
    <x v="11"/>
    <s v="Ally"/>
    <s v="Bryant"/>
    <x v="3"/>
    <n v="20128"/>
    <x v="2"/>
    <n v="15000"/>
    <n v="2012.8000000000002"/>
  </r>
  <r>
    <x v="2"/>
    <x v="13"/>
    <s v="Spencer"/>
    <s v="Cruz"/>
    <x v="3"/>
    <n v="21167.999999999996"/>
    <x v="1"/>
    <n v="15000"/>
    <n v="2116.7999999999997"/>
  </r>
  <r>
    <x v="2"/>
    <x v="17"/>
    <s v="Tia"/>
    <s v="Cruise"/>
    <x v="3"/>
    <n v="25102.399999999998"/>
    <x v="0"/>
    <n v="15000"/>
    <n v="2510.2399999999998"/>
  </r>
  <r>
    <x v="2"/>
    <x v="17"/>
    <s v="Tia"/>
    <s v="Cruise"/>
    <x v="3"/>
    <n v="27670.9"/>
    <x v="2"/>
    <n v="15000"/>
    <n v="2767.09"/>
  </r>
  <r>
    <x v="2"/>
    <x v="17"/>
    <s v="Tia"/>
    <s v="Cruise"/>
    <x v="3"/>
    <n v="27956.799999999999"/>
    <x v="0"/>
    <n v="15000"/>
    <n v="2795.6800000000003"/>
  </r>
  <r>
    <x v="2"/>
    <x v="11"/>
    <s v="Ally"/>
    <s v="Bryant"/>
    <x v="3"/>
    <n v="31407"/>
    <x v="0"/>
    <n v="15000"/>
    <n v="3140.7000000000003"/>
  </r>
  <r>
    <x v="2"/>
    <x v="12"/>
    <s v="Josh"/>
    <s v="Sutherland"/>
    <x v="3"/>
    <n v="35647.5"/>
    <x v="2"/>
    <n v="15000"/>
    <n v="3564.75"/>
  </r>
  <r>
    <x v="2"/>
    <x v="12"/>
    <s v="Josh"/>
    <s v="Sutherland"/>
    <x v="3"/>
    <n v="36907.200000000004"/>
    <x v="0"/>
    <n v="15000"/>
    <n v="3690.7200000000007"/>
  </r>
  <r>
    <x v="3"/>
    <x v="1"/>
    <s v="Bryan"/>
    <s v="Maldonado"/>
    <x v="0"/>
    <n v="7029.9"/>
    <x v="2"/>
    <n v="15000"/>
    <n v="0"/>
  </r>
  <r>
    <x v="3"/>
    <x v="1"/>
    <s v="Bryan"/>
    <s v="Maldonado"/>
    <x v="0"/>
    <n v="11914.400000000001"/>
    <x v="0"/>
    <n v="15000"/>
    <n v="0"/>
  </r>
  <r>
    <x v="3"/>
    <x v="2"/>
    <s v="Ashley"/>
    <s v="Almanza"/>
    <x v="0"/>
    <n v="15919.7"/>
    <x v="1"/>
    <n v="15000"/>
    <n v="1591.9700000000003"/>
  </r>
  <r>
    <x v="3"/>
    <x v="0"/>
    <s v="Reza"/>
    <s v="Jafari"/>
    <x v="0"/>
    <n v="17776"/>
    <x v="2"/>
    <n v="15000"/>
    <n v="1777.6000000000001"/>
  </r>
  <r>
    <x v="3"/>
    <x v="14"/>
    <s v="Gordon"/>
    <s v="Beswick"/>
    <x v="0"/>
    <n v="36666"/>
    <x v="0"/>
    <n v="15000"/>
    <n v="3666.6000000000004"/>
  </r>
  <r>
    <x v="3"/>
    <x v="0"/>
    <s v="Reza"/>
    <s v="Jafari"/>
    <x v="0"/>
    <n v="38227.699999999997"/>
    <x v="1"/>
    <n v="15000"/>
    <n v="3822.77"/>
  </r>
  <r>
    <x v="3"/>
    <x v="0"/>
    <s v="Reza"/>
    <s v="Jafari"/>
    <x v="0"/>
    <n v="51531.199999999997"/>
    <x v="2"/>
    <n v="15000"/>
    <n v="5153.12"/>
  </r>
  <r>
    <x v="3"/>
    <x v="4"/>
    <s v="Chloe"/>
    <s v="Fusaro"/>
    <x v="1"/>
    <n v="8520"/>
    <x v="2"/>
    <n v="15000"/>
    <n v="0"/>
  </r>
  <r>
    <x v="3"/>
    <x v="18"/>
    <s v="Charlotte"/>
    <s v="Edwards"/>
    <x v="1"/>
    <n v="14301.599999999999"/>
    <x v="2"/>
    <n v="15000"/>
    <n v="0"/>
  </r>
  <r>
    <x v="3"/>
    <x v="18"/>
    <s v="Charlotte"/>
    <s v="Edwards"/>
    <x v="1"/>
    <n v="17204.399999999998"/>
    <x v="1"/>
    <n v="15000"/>
    <n v="1720.4399999999998"/>
  </r>
  <r>
    <x v="3"/>
    <x v="19"/>
    <s v="Jonah"/>
    <s v="Seitz"/>
    <x v="1"/>
    <n v="19080"/>
    <x v="0"/>
    <n v="15000"/>
    <n v="1908"/>
  </r>
  <r>
    <x v="3"/>
    <x v="4"/>
    <s v="Chloe"/>
    <s v="Fusaro"/>
    <x v="1"/>
    <n v="19210.400000000001"/>
    <x v="1"/>
    <n v="15000"/>
    <n v="1921.0400000000002"/>
  </r>
  <r>
    <x v="3"/>
    <x v="4"/>
    <s v="Chloe"/>
    <s v="Fusaro"/>
    <x v="1"/>
    <n v="32282.799999999996"/>
    <x v="0"/>
    <n v="15000"/>
    <n v="3228.2799999999997"/>
  </r>
  <r>
    <x v="3"/>
    <x v="15"/>
    <s v="Sarah"/>
    <s v="Gibbs"/>
    <x v="1"/>
    <n v="32524.1"/>
    <x v="1"/>
    <n v="15000"/>
    <n v="3252.41"/>
  </r>
  <r>
    <x v="3"/>
    <x v="4"/>
    <s v="Chloe"/>
    <s v="Fusaro"/>
    <x v="1"/>
    <n v="35153.799999999996"/>
    <x v="1"/>
    <n v="15000"/>
    <n v="3515.3799999999997"/>
  </r>
  <r>
    <x v="3"/>
    <x v="4"/>
    <s v="Chloe"/>
    <s v="Fusaro"/>
    <x v="1"/>
    <n v="35820"/>
    <x v="2"/>
    <n v="15000"/>
    <n v="3582"/>
  </r>
  <r>
    <x v="3"/>
    <x v="5"/>
    <s v="David"/>
    <s v="Wilkinson"/>
    <x v="1"/>
    <n v="42690.400000000001"/>
    <x v="2"/>
    <n v="15000"/>
    <n v="4269.04"/>
  </r>
  <r>
    <x v="3"/>
    <x v="16"/>
    <s v="Cory"/>
    <s v="Goodwin"/>
    <x v="2"/>
    <n v="6960"/>
    <x v="2"/>
    <n v="15000"/>
    <n v="0"/>
  </r>
  <r>
    <x v="3"/>
    <x v="9"/>
    <s v="Emily"/>
    <s v="Whelan"/>
    <x v="2"/>
    <n v="9627.8999999999978"/>
    <x v="1"/>
    <n v="15000"/>
    <n v="0"/>
  </r>
  <r>
    <x v="3"/>
    <x v="8"/>
    <s v="Annabel"/>
    <s v="Mettick"/>
    <x v="2"/>
    <n v="13725.600000000002"/>
    <x v="2"/>
    <n v="15000"/>
    <n v="0"/>
  </r>
  <r>
    <x v="3"/>
    <x v="9"/>
    <s v="Emily"/>
    <s v="Whelan"/>
    <x v="2"/>
    <n v="15353.2"/>
    <x v="1"/>
    <n v="15000"/>
    <n v="1535.3200000000002"/>
  </r>
  <r>
    <x v="3"/>
    <x v="6"/>
    <s v="Olivia"/>
    <s v="Cheung"/>
    <x v="2"/>
    <n v="18994.5"/>
    <x v="0"/>
    <n v="15000"/>
    <n v="1899.45"/>
  </r>
  <r>
    <x v="3"/>
    <x v="6"/>
    <s v="Olivia"/>
    <s v="Cheung"/>
    <x v="2"/>
    <n v="28628.799999999996"/>
    <x v="2"/>
    <n v="15000"/>
    <n v="2862.8799999999997"/>
  </r>
  <r>
    <x v="3"/>
    <x v="12"/>
    <s v="Josh"/>
    <s v="Sutherland"/>
    <x v="3"/>
    <n v="5696.4"/>
    <x v="1"/>
    <n v="15000"/>
    <n v="0"/>
  </r>
  <r>
    <x v="3"/>
    <x v="10"/>
    <s v="Nina"/>
    <s v="McDonald"/>
    <x v="3"/>
    <n v="11716.5"/>
    <x v="1"/>
    <n v="15000"/>
    <n v="0"/>
  </r>
  <r>
    <x v="3"/>
    <x v="13"/>
    <s v="Spencer"/>
    <s v="Cruz"/>
    <x v="3"/>
    <n v="14416"/>
    <x v="2"/>
    <n v="15000"/>
    <n v="0"/>
  </r>
  <r>
    <x v="3"/>
    <x v="10"/>
    <s v="Nina"/>
    <s v="McDonald"/>
    <x v="3"/>
    <n v="16499.400000000001"/>
    <x v="0"/>
    <n v="15000"/>
    <n v="1649.9400000000003"/>
  </r>
  <r>
    <x v="3"/>
    <x v="12"/>
    <s v="Josh"/>
    <s v="Sutherland"/>
    <x v="3"/>
    <n v="16968"/>
    <x v="2"/>
    <n v="15000"/>
    <n v="1696.8000000000002"/>
  </r>
  <r>
    <x v="3"/>
    <x v="11"/>
    <s v="Ally"/>
    <s v="Bryant"/>
    <x v="3"/>
    <n v="17993.5"/>
    <x v="1"/>
    <n v="15000"/>
    <n v="1799.3500000000001"/>
  </r>
  <r>
    <x v="3"/>
    <x v="12"/>
    <s v="Josh"/>
    <s v="Sutherland"/>
    <x v="3"/>
    <n v="18188.399999999998"/>
    <x v="0"/>
    <n v="15000"/>
    <n v="1818.84"/>
  </r>
  <r>
    <x v="4"/>
    <x v="3"/>
    <s v="Derek"/>
    <s v="Godwin"/>
    <x v="0"/>
    <n v="8686.6"/>
    <x v="0"/>
    <n v="15000"/>
    <n v="0"/>
  </r>
  <r>
    <x v="4"/>
    <x v="0"/>
    <s v="Reza"/>
    <s v="Jafari"/>
    <x v="0"/>
    <n v="12422.2"/>
    <x v="2"/>
    <n v="15000"/>
    <n v="0"/>
  </r>
  <r>
    <x v="4"/>
    <x v="14"/>
    <s v="Gordon"/>
    <s v="Beswick"/>
    <x v="0"/>
    <n v="15120"/>
    <x v="0"/>
    <n v="15000"/>
    <n v="1512"/>
  </r>
  <r>
    <x v="4"/>
    <x v="3"/>
    <s v="Derek"/>
    <s v="Godwin"/>
    <x v="0"/>
    <n v="16604.400000000001"/>
    <x v="2"/>
    <n v="15000"/>
    <n v="1660.4400000000003"/>
  </r>
  <r>
    <x v="4"/>
    <x v="0"/>
    <s v="Reza"/>
    <s v="Jafari"/>
    <x v="0"/>
    <n v="19584"/>
    <x v="0"/>
    <n v="15000"/>
    <n v="1958.4"/>
  </r>
  <r>
    <x v="4"/>
    <x v="2"/>
    <s v="Ashley"/>
    <s v="Almanza"/>
    <x v="0"/>
    <n v="26546.6"/>
    <x v="0"/>
    <n v="15000"/>
    <n v="2654.66"/>
  </r>
  <r>
    <x v="4"/>
    <x v="2"/>
    <s v="Ashley"/>
    <s v="Almanza"/>
    <x v="0"/>
    <n v="31200"/>
    <x v="0"/>
    <n v="15000"/>
    <n v="3120"/>
  </r>
  <r>
    <x v="4"/>
    <x v="5"/>
    <s v="David"/>
    <s v="Wilkinson"/>
    <x v="1"/>
    <n v="9270.1"/>
    <x v="1"/>
    <n v="15000"/>
    <n v="0"/>
  </r>
  <r>
    <x v="4"/>
    <x v="5"/>
    <s v="David"/>
    <s v="Wilkinson"/>
    <x v="1"/>
    <n v="11235"/>
    <x v="2"/>
    <n v="15000"/>
    <n v="0"/>
  </r>
  <r>
    <x v="4"/>
    <x v="15"/>
    <s v="Sarah"/>
    <s v="Gibbs"/>
    <x v="1"/>
    <n v="12019.799999999997"/>
    <x v="1"/>
    <n v="15000"/>
    <n v="0"/>
  </r>
  <r>
    <x v="4"/>
    <x v="4"/>
    <s v="Chloe"/>
    <s v="Fusaro"/>
    <x v="1"/>
    <n v="27930"/>
    <x v="0"/>
    <n v="15000"/>
    <n v="2793"/>
  </r>
  <r>
    <x v="4"/>
    <x v="16"/>
    <s v="Cory"/>
    <s v="Goodwin"/>
    <x v="2"/>
    <n v="10948"/>
    <x v="1"/>
    <n v="15000"/>
    <n v="0"/>
  </r>
  <r>
    <x v="4"/>
    <x v="7"/>
    <s v="Jason"/>
    <s v="Jackaki"/>
    <x v="2"/>
    <n v="13044.899999999998"/>
    <x v="1"/>
    <n v="15000"/>
    <n v="0"/>
  </r>
  <r>
    <x v="4"/>
    <x v="9"/>
    <s v="Emily"/>
    <s v="Whelan"/>
    <x v="2"/>
    <n v="28616"/>
    <x v="2"/>
    <n v="15000"/>
    <n v="2861.6000000000004"/>
  </r>
  <r>
    <x v="4"/>
    <x v="8"/>
    <s v="Annabel"/>
    <s v="Mettick"/>
    <x v="2"/>
    <n v="30377.399999999998"/>
    <x v="2"/>
    <n v="15000"/>
    <n v="3037.74"/>
  </r>
  <r>
    <x v="4"/>
    <x v="9"/>
    <s v="Emily"/>
    <s v="Whelan"/>
    <x v="2"/>
    <n v="35351"/>
    <x v="0"/>
    <n v="15000"/>
    <n v="3535.1000000000004"/>
  </r>
  <r>
    <x v="4"/>
    <x v="13"/>
    <s v="Spencer"/>
    <s v="Cruz"/>
    <x v="3"/>
    <n v="9004.7999999999993"/>
    <x v="1"/>
    <n v="15000"/>
    <n v="0"/>
  </r>
  <r>
    <x v="4"/>
    <x v="12"/>
    <s v="Josh"/>
    <s v="Sutherland"/>
    <x v="3"/>
    <n v="18826.400000000001"/>
    <x v="2"/>
    <n v="15000"/>
    <n v="1882.6400000000003"/>
  </r>
  <r>
    <x v="4"/>
    <x v="12"/>
    <s v="Josh"/>
    <s v="Sutherland"/>
    <x v="3"/>
    <n v="19617.5"/>
    <x v="2"/>
    <n v="15000"/>
    <n v="1961.75"/>
  </r>
  <r>
    <x v="4"/>
    <x v="12"/>
    <s v="Josh"/>
    <s v="Sutherland"/>
    <x v="3"/>
    <n v="19836.400000000001"/>
    <x v="1"/>
    <n v="15000"/>
    <n v="1983.6400000000003"/>
  </r>
  <r>
    <x v="4"/>
    <x v="11"/>
    <s v="Ally"/>
    <s v="Bryant"/>
    <x v="3"/>
    <n v="20717.599999999999"/>
    <x v="0"/>
    <n v="15000"/>
    <n v="2071.7599999999998"/>
  </r>
  <r>
    <x v="4"/>
    <x v="17"/>
    <s v="Tia"/>
    <s v="Cruise"/>
    <x v="3"/>
    <n v="23364"/>
    <x v="0"/>
    <n v="15000"/>
    <n v="2336.4"/>
  </r>
  <r>
    <x v="4"/>
    <x v="12"/>
    <s v="Josh"/>
    <s v="Sutherland"/>
    <x v="3"/>
    <n v="23997.600000000002"/>
    <x v="1"/>
    <n v="15000"/>
    <n v="2399.7600000000002"/>
  </r>
  <r>
    <x v="4"/>
    <x v="13"/>
    <s v="Spencer"/>
    <s v="Cruz"/>
    <x v="3"/>
    <n v="27916.399999999998"/>
    <x v="2"/>
    <n v="15000"/>
    <n v="2791.64"/>
  </r>
  <r>
    <x v="4"/>
    <x v="13"/>
    <s v="Spencer"/>
    <s v="Cruz"/>
    <x v="3"/>
    <n v="42249.1"/>
    <x v="0"/>
    <n v="15000"/>
    <n v="4224.91"/>
  </r>
  <r>
    <x v="5"/>
    <x v="2"/>
    <s v="Ashley"/>
    <s v="Almanza"/>
    <x v="0"/>
    <n v="2070.2999999999997"/>
    <x v="1"/>
    <n v="15000"/>
    <n v="0"/>
  </r>
  <r>
    <x v="5"/>
    <x v="0"/>
    <s v="Reza"/>
    <s v="Jafari"/>
    <x v="0"/>
    <n v="9499"/>
    <x v="0"/>
    <n v="15000"/>
    <n v="0"/>
  </r>
  <r>
    <x v="5"/>
    <x v="0"/>
    <s v="Reza"/>
    <s v="Jafari"/>
    <x v="0"/>
    <n v="17904.7"/>
    <x v="2"/>
    <n v="15000"/>
    <n v="1790.4700000000003"/>
  </r>
  <r>
    <x v="5"/>
    <x v="0"/>
    <s v="Reza"/>
    <s v="Jafari"/>
    <x v="0"/>
    <n v="18878.399999999998"/>
    <x v="0"/>
    <n v="15000"/>
    <n v="1887.84"/>
  </r>
  <r>
    <x v="5"/>
    <x v="0"/>
    <s v="Reza"/>
    <s v="Jafari"/>
    <x v="0"/>
    <n v="23445"/>
    <x v="0"/>
    <n v="15000"/>
    <n v="2344.5"/>
  </r>
  <r>
    <x v="5"/>
    <x v="0"/>
    <s v="Reza"/>
    <s v="Jafari"/>
    <x v="0"/>
    <n v="34162"/>
    <x v="0"/>
    <n v="15000"/>
    <n v="3416.2000000000003"/>
  </r>
  <r>
    <x v="5"/>
    <x v="19"/>
    <s v="Jonah"/>
    <s v="Seitz"/>
    <x v="1"/>
    <n v="7581.9999999999991"/>
    <x v="1"/>
    <n v="15000"/>
    <n v="0"/>
  </r>
  <r>
    <x v="5"/>
    <x v="4"/>
    <s v="Chloe"/>
    <s v="Fusaro"/>
    <x v="1"/>
    <n v="8721.6"/>
    <x v="2"/>
    <n v="15000"/>
    <n v="0"/>
  </r>
  <r>
    <x v="5"/>
    <x v="19"/>
    <s v="Jonah"/>
    <s v="Seitz"/>
    <x v="1"/>
    <n v="10500"/>
    <x v="0"/>
    <n v="15000"/>
    <n v="0"/>
  </r>
  <r>
    <x v="5"/>
    <x v="5"/>
    <s v="David"/>
    <s v="Wilkinson"/>
    <x v="1"/>
    <n v="13466.999999999998"/>
    <x v="2"/>
    <n v="15000"/>
    <n v="0"/>
  </r>
  <r>
    <x v="5"/>
    <x v="19"/>
    <s v="Jonah"/>
    <s v="Seitz"/>
    <x v="1"/>
    <n v="16036.8"/>
    <x v="0"/>
    <n v="15000"/>
    <n v="1603.68"/>
  </r>
  <r>
    <x v="5"/>
    <x v="18"/>
    <s v="Charlotte"/>
    <s v="Edwards"/>
    <x v="1"/>
    <n v="16846.8"/>
    <x v="0"/>
    <n v="15000"/>
    <n v="1684.68"/>
  </r>
  <r>
    <x v="5"/>
    <x v="9"/>
    <s v="Emily"/>
    <s v="Whelan"/>
    <x v="2"/>
    <n v="6872.7999999999993"/>
    <x v="1"/>
    <n v="15000"/>
    <n v="0"/>
  </r>
  <r>
    <x v="5"/>
    <x v="8"/>
    <s v="Annabel"/>
    <s v="Mettick"/>
    <x v="2"/>
    <n v="8827"/>
    <x v="2"/>
    <n v="15000"/>
    <n v="0"/>
  </r>
  <r>
    <x v="5"/>
    <x v="16"/>
    <s v="Cory"/>
    <s v="Goodwin"/>
    <x v="2"/>
    <n v="9836.8000000000011"/>
    <x v="1"/>
    <n v="15000"/>
    <n v="0"/>
  </r>
  <r>
    <x v="5"/>
    <x v="8"/>
    <s v="Annabel"/>
    <s v="Mettick"/>
    <x v="2"/>
    <n v="10032"/>
    <x v="1"/>
    <n v="15000"/>
    <n v="0"/>
  </r>
  <r>
    <x v="5"/>
    <x v="8"/>
    <s v="Annabel"/>
    <s v="Mettick"/>
    <x v="2"/>
    <n v="15953.599999999999"/>
    <x v="0"/>
    <n v="15000"/>
    <n v="1595.36"/>
  </r>
  <r>
    <x v="5"/>
    <x v="9"/>
    <s v="Emily"/>
    <s v="Whelan"/>
    <x v="2"/>
    <n v="25560"/>
    <x v="1"/>
    <n v="15000"/>
    <n v="2556"/>
  </r>
  <r>
    <x v="5"/>
    <x v="8"/>
    <s v="Annabel"/>
    <s v="Mettick"/>
    <x v="2"/>
    <n v="35695"/>
    <x v="0"/>
    <n v="15000"/>
    <n v="3569.5"/>
  </r>
  <r>
    <x v="5"/>
    <x v="11"/>
    <s v="Ally"/>
    <s v="Bryant"/>
    <x v="3"/>
    <n v="9574.7999999999993"/>
    <x v="0"/>
    <n v="15000"/>
    <n v="0"/>
  </r>
  <r>
    <x v="5"/>
    <x v="11"/>
    <s v="Ally"/>
    <s v="Bryant"/>
    <x v="3"/>
    <n v="14301.6"/>
    <x v="0"/>
    <n v="15000"/>
    <n v="0"/>
  </r>
  <r>
    <x v="5"/>
    <x v="17"/>
    <s v="Tia"/>
    <s v="Cruise"/>
    <x v="3"/>
    <n v="15061.2"/>
    <x v="0"/>
    <n v="15000"/>
    <n v="1506.1200000000001"/>
  </r>
  <r>
    <x v="5"/>
    <x v="12"/>
    <s v="Josh"/>
    <s v="Sutherland"/>
    <x v="3"/>
    <n v="17262"/>
    <x v="0"/>
    <n v="15000"/>
    <n v="1726.2"/>
  </r>
  <r>
    <x v="5"/>
    <x v="13"/>
    <s v="Spencer"/>
    <s v="Cruz"/>
    <x v="3"/>
    <n v="37192.5"/>
    <x v="2"/>
    <n v="15000"/>
    <n v="3719.25"/>
  </r>
  <r>
    <x v="5"/>
    <x v="17"/>
    <s v="Tia"/>
    <s v="Cruise"/>
    <x v="3"/>
    <n v="39653.9"/>
    <x v="2"/>
    <n v="15000"/>
    <n v="3965.3900000000003"/>
  </r>
  <r>
    <x v="6"/>
    <x v="0"/>
    <s v="Reza"/>
    <s v="Jafari"/>
    <x v="0"/>
    <n v="3055.2"/>
    <x v="1"/>
    <n v="15000"/>
    <n v="0"/>
  </r>
  <r>
    <x v="6"/>
    <x v="2"/>
    <s v="Ashley"/>
    <s v="Almanza"/>
    <x v="0"/>
    <n v="4843.4000000000005"/>
    <x v="2"/>
    <n v="15000"/>
    <n v="0"/>
  </r>
  <r>
    <x v="6"/>
    <x v="3"/>
    <s v="Derek"/>
    <s v="Godwin"/>
    <x v="0"/>
    <n v="5215.2"/>
    <x v="2"/>
    <n v="15000"/>
    <n v="0"/>
  </r>
  <r>
    <x v="6"/>
    <x v="0"/>
    <s v="Reza"/>
    <s v="Jafari"/>
    <x v="0"/>
    <n v="7199.7000000000007"/>
    <x v="2"/>
    <n v="15000"/>
    <n v="0"/>
  </r>
  <r>
    <x v="6"/>
    <x v="1"/>
    <s v="Bryan"/>
    <s v="Maldonado"/>
    <x v="0"/>
    <n v="14670"/>
    <x v="1"/>
    <n v="15000"/>
    <n v="0"/>
  </r>
  <r>
    <x v="6"/>
    <x v="2"/>
    <s v="Ashley"/>
    <s v="Almanza"/>
    <x v="0"/>
    <n v="16614.400000000001"/>
    <x v="1"/>
    <n v="15000"/>
    <n v="1661.4400000000003"/>
  </r>
  <r>
    <x v="6"/>
    <x v="1"/>
    <s v="Bryan"/>
    <s v="Maldonado"/>
    <x v="0"/>
    <n v="20076.7"/>
    <x v="2"/>
    <n v="15000"/>
    <n v="2007.67"/>
  </r>
  <r>
    <x v="6"/>
    <x v="0"/>
    <s v="Reza"/>
    <s v="Jafari"/>
    <x v="0"/>
    <n v="21482.999999999996"/>
    <x v="2"/>
    <n v="15000"/>
    <n v="2148.2999999999997"/>
  </r>
  <r>
    <x v="6"/>
    <x v="14"/>
    <s v="Gordon"/>
    <s v="Beswick"/>
    <x v="0"/>
    <n v="30776.799999999999"/>
    <x v="1"/>
    <n v="15000"/>
    <n v="3077.6800000000003"/>
  </r>
  <r>
    <x v="6"/>
    <x v="5"/>
    <s v="David"/>
    <s v="Wilkinson"/>
    <x v="1"/>
    <n v="15957.2"/>
    <x v="2"/>
    <n v="15000"/>
    <n v="1595.7200000000003"/>
  </r>
  <r>
    <x v="6"/>
    <x v="15"/>
    <s v="Sarah"/>
    <s v="Gibbs"/>
    <x v="1"/>
    <n v="16492"/>
    <x v="1"/>
    <n v="15000"/>
    <n v="1649.2"/>
  </r>
  <r>
    <x v="6"/>
    <x v="18"/>
    <s v="Charlotte"/>
    <s v="Edwards"/>
    <x v="1"/>
    <n v="21295.4"/>
    <x v="1"/>
    <n v="15000"/>
    <n v="2129.5400000000004"/>
  </r>
  <r>
    <x v="6"/>
    <x v="4"/>
    <s v="Chloe"/>
    <s v="Fusaro"/>
    <x v="1"/>
    <n v="25518.800000000003"/>
    <x v="1"/>
    <n v="15000"/>
    <n v="2551.8800000000006"/>
  </r>
  <r>
    <x v="6"/>
    <x v="4"/>
    <s v="Chloe"/>
    <s v="Fusaro"/>
    <x v="1"/>
    <n v="27676.6"/>
    <x v="0"/>
    <n v="15000"/>
    <n v="2767.66"/>
  </r>
  <r>
    <x v="6"/>
    <x v="18"/>
    <s v="Charlotte"/>
    <s v="Edwards"/>
    <x v="1"/>
    <n v="28395"/>
    <x v="2"/>
    <n v="15000"/>
    <n v="2839.5"/>
  </r>
  <r>
    <x v="6"/>
    <x v="15"/>
    <s v="Sarah"/>
    <s v="Gibbs"/>
    <x v="1"/>
    <n v="41826.400000000001"/>
    <x v="2"/>
    <n v="15000"/>
    <n v="4182.6400000000003"/>
  </r>
  <r>
    <x v="6"/>
    <x v="15"/>
    <s v="Sarah"/>
    <s v="Gibbs"/>
    <x v="1"/>
    <n v="49055.999999999993"/>
    <x v="1"/>
    <n v="15000"/>
    <n v="4905.5999999999995"/>
  </r>
  <r>
    <x v="6"/>
    <x v="16"/>
    <s v="Cory"/>
    <s v="Goodwin"/>
    <x v="2"/>
    <n v="9405.2999999999993"/>
    <x v="0"/>
    <n v="15000"/>
    <n v="0"/>
  </r>
  <r>
    <x v="6"/>
    <x v="9"/>
    <s v="Emily"/>
    <s v="Whelan"/>
    <x v="2"/>
    <n v="9704.1999999999989"/>
    <x v="2"/>
    <n v="15000"/>
    <n v="0"/>
  </r>
  <r>
    <x v="6"/>
    <x v="16"/>
    <s v="Cory"/>
    <s v="Goodwin"/>
    <x v="2"/>
    <n v="13674"/>
    <x v="0"/>
    <n v="15000"/>
    <n v="0"/>
  </r>
  <r>
    <x v="6"/>
    <x v="8"/>
    <s v="Annabel"/>
    <s v="Mettick"/>
    <x v="2"/>
    <n v="21120.400000000001"/>
    <x v="0"/>
    <n v="15000"/>
    <n v="2112.0400000000004"/>
  </r>
  <r>
    <x v="6"/>
    <x v="8"/>
    <s v="Annabel"/>
    <s v="Mettick"/>
    <x v="2"/>
    <n v="23997.600000000002"/>
    <x v="1"/>
    <n v="15000"/>
    <n v="2399.7600000000002"/>
  </r>
  <r>
    <x v="6"/>
    <x v="8"/>
    <s v="Annabel"/>
    <s v="Mettick"/>
    <x v="2"/>
    <n v="35715.4"/>
    <x v="2"/>
    <n v="15000"/>
    <n v="3571.5400000000004"/>
  </r>
  <r>
    <x v="6"/>
    <x v="17"/>
    <s v="Tia"/>
    <s v="Cruise"/>
    <x v="3"/>
    <n v="3465"/>
    <x v="0"/>
    <n v="15000"/>
    <n v="0"/>
  </r>
  <r>
    <x v="6"/>
    <x v="12"/>
    <s v="Josh"/>
    <s v="Sutherland"/>
    <x v="3"/>
    <n v="5332.7999999999993"/>
    <x v="0"/>
    <n v="15000"/>
    <n v="0"/>
  </r>
  <r>
    <x v="6"/>
    <x v="11"/>
    <s v="Ally"/>
    <s v="Bryant"/>
    <x v="3"/>
    <n v="8065.5999999999995"/>
    <x v="2"/>
    <n v="15000"/>
    <n v="0"/>
  </r>
  <r>
    <x v="6"/>
    <x v="11"/>
    <s v="Ally"/>
    <s v="Bryant"/>
    <x v="3"/>
    <n v="10067.200000000001"/>
    <x v="2"/>
    <n v="15000"/>
    <n v="0"/>
  </r>
  <r>
    <x v="6"/>
    <x v="11"/>
    <s v="Ally"/>
    <s v="Bryant"/>
    <x v="3"/>
    <n v="10648.999999999998"/>
    <x v="2"/>
    <n v="15000"/>
    <n v="0"/>
  </r>
  <r>
    <x v="6"/>
    <x v="12"/>
    <s v="Josh"/>
    <s v="Sutherland"/>
    <x v="3"/>
    <n v="10679.400000000001"/>
    <x v="2"/>
    <n v="15000"/>
    <n v="0"/>
  </r>
  <r>
    <x v="6"/>
    <x v="13"/>
    <s v="Spencer"/>
    <s v="Cruz"/>
    <x v="3"/>
    <n v="11155.5"/>
    <x v="1"/>
    <n v="15000"/>
    <n v="0"/>
  </r>
  <r>
    <x v="6"/>
    <x v="11"/>
    <s v="Ally"/>
    <s v="Bryant"/>
    <x v="3"/>
    <n v="11543"/>
    <x v="1"/>
    <n v="15000"/>
    <n v="0"/>
  </r>
  <r>
    <x v="6"/>
    <x v="11"/>
    <s v="Ally"/>
    <s v="Bryant"/>
    <x v="3"/>
    <n v="15633.199999999999"/>
    <x v="0"/>
    <n v="15000"/>
    <n v="1563.32"/>
  </r>
  <r>
    <x v="6"/>
    <x v="11"/>
    <s v="Ally"/>
    <s v="Bryant"/>
    <x v="3"/>
    <n v="20868.399999999998"/>
    <x v="0"/>
    <n v="15000"/>
    <n v="2086.8399999999997"/>
  </r>
  <r>
    <x v="6"/>
    <x v="11"/>
    <s v="Ally"/>
    <s v="Bryant"/>
    <x v="3"/>
    <n v="24395.100000000002"/>
    <x v="1"/>
    <n v="15000"/>
    <n v="2439.5100000000002"/>
  </r>
  <r>
    <x v="7"/>
    <x v="1"/>
    <s v="Bryan"/>
    <s v="Maldonado"/>
    <x v="0"/>
    <n v="8625"/>
    <x v="0"/>
    <n v="15000"/>
    <n v="0"/>
  </r>
  <r>
    <x v="7"/>
    <x v="0"/>
    <s v="Reza"/>
    <s v="Jafari"/>
    <x v="0"/>
    <n v="9794"/>
    <x v="0"/>
    <n v="15000"/>
    <n v="0"/>
  </r>
  <r>
    <x v="7"/>
    <x v="1"/>
    <s v="Bryan"/>
    <s v="Maldonado"/>
    <x v="0"/>
    <n v="16321.6"/>
    <x v="1"/>
    <n v="15000"/>
    <n v="1632.16"/>
  </r>
  <r>
    <x v="7"/>
    <x v="0"/>
    <s v="Reza"/>
    <s v="Jafari"/>
    <x v="0"/>
    <n v="19678.8"/>
    <x v="0"/>
    <n v="15000"/>
    <n v="1967.88"/>
  </r>
  <r>
    <x v="7"/>
    <x v="1"/>
    <s v="Bryan"/>
    <s v="Maldonado"/>
    <x v="0"/>
    <n v="33694.800000000003"/>
    <x v="0"/>
    <n v="15000"/>
    <n v="3369.4800000000005"/>
  </r>
  <r>
    <x v="7"/>
    <x v="3"/>
    <s v="Derek"/>
    <s v="Godwin"/>
    <x v="0"/>
    <n v="39236"/>
    <x v="2"/>
    <n v="15000"/>
    <n v="3923.6000000000004"/>
  </r>
  <r>
    <x v="7"/>
    <x v="0"/>
    <s v="Reza"/>
    <s v="Jafari"/>
    <x v="0"/>
    <n v="43088.2"/>
    <x v="1"/>
    <n v="15000"/>
    <n v="4308.82"/>
  </r>
  <r>
    <x v="7"/>
    <x v="4"/>
    <s v="Chloe"/>
    <s v="Fusaro"/>
    <x v="1"/>
    <n v="6201"/>
    <x v="2"/>
    <n v="15000"/>
    <n v="0"/>
  </r>
  <r>
    <x v="7"/>
    <x v="5"/>
    <s v="David"/>
    <s v="Wilkinson"/>
    <x v="1"/>
    <n v="6311.4"/>
    <x v="2"/>
    <n v="15000"/>
    <n v="0"/>
  </r>
  <r>
    <x v="7"/>
    <x v="19"/>
    <s v="Jonah"/>
    <s v="Seitz"/>
    <x v="1"/>
    <n v="7289.6"/>
    <x v="1"/>
    <n v="15000"/>
    <n v="0"/>
  </r>
  <r>
    <x v="7"/>
    <x v="19"/>
    <s v="Jonah"/>
    <s v="Seitz"/>
    <x v="1"/>
    <n v="8322.4"/>
    <x v="1"/>
    <n v="15000"/>
    <n v="0"/>
  </r>
  <r>
    <x v="7"/>
    <x v="18"/>
    <s v="Charlotte"/>
    <s v="Edwards"/>
    <x v="1"/>
    <n v="8501.9000000000015"/>
    <x v="0"/>
    <n v="15000"/>
    <n v="0"/>
  </r>
  <r>
    <x v="7"/>
    <x v="4"/>
    <s v="Chloe"/>
    <s v="Fusaro"/>
    <x v="1"/>
    <n v="9708.2999999999993"/>
    <x v="0"/>
    <n v="15000"/>
    <n v="0"/>
  </r>
  <r>
    <x v="7"/>
    <x v="19"/>
    <s v="Jonah"/>
    <s v="Seitz"/>
    <x v="1"/>
    <n v="12944.399999999998"/>
    <x v="0"/>
    <n v="15000"/>
    <n v="0"/>
  </r>
  <r>
    <x v="7"/>
    <x v="4"/>
    <s v="Chloe"/>
    <s v="Fusaro"/>
    <x v="1"/>
    <n v="14248"/>
    <x v="0"/>
    <n v="15000"/>
    <n v="0"/>
  </r>
  <r>
    <x v="7"/>
    <x v="19"/>
    <s v="Jonah"/>
    <s v="Seitz"/>
    <x v="1"/>
    <n v="18298.399999999998"/>
    <x v="2"/>
    <n v="15000"/>
    <n v="1829.84"/>
  </r>
  <r>
    <x v="7"/>
    <x v="19"/>
    <s v="Jonah"/>
    <s v="Seitz"/>
    <x v="1"/>
    <n v="18838.399999999998"/>
    <x v="2"/>
    <n v="15000"/>
    <n v="1883.84"/>
  </r>
  <r>
    <x v="7"/>
    <x v="15"/>
    <s v="Sarah"/>
    <s v="Gibbs"/>
    <x v="1"/>
    <n v="24469.599999999999"/>
    <x v="0"/>
    <n v="15000"/>
    <n v="2446.96"/>
  </r>
  <r>
    <x v="7"/>
    <x v="15"/>
    <s v="Sarah"/>
    <s v="Gibbs"/>
    <x v="1"/>
    <n v="31053.4"/>
    <x v="1"/>
    <n v="15000"/>
    <n v="3105.34"/>
  </r>
  <r>
    <x v="7"/>
    <x v="8"/>
    <s v="Annabel"/>
    <s v="Mettick"/>
    <x v="2"/>
    <n v="3386.6000000000004"/>
    <x v="0"/>
    <n v="15000"/>
    <n v="0"/>
  </r>
  <r>
    <x v="7"/>
    <x v="9"/>
    <s v="Emily"/>
    <s v="Whelan"/>
    <x v="2"/>
    <n v="4028"/>
    <x v="1"/>
    <n v="15000"/>
    <n v="0"/>
  </r>
  <r>
    <x v="7"/>
    <x v="6"/>
    <s v="Olivia"/>
    <s v="Cheung"/>
    <x v="2"/>
    <n v="5532.7999999999993"/>
    <x v="0"/>
    <n v="15000"/>
    <n v="0"/>
  </r>
  <r>
    <x v="7"/>
    <x v="8"/>
    <s v="Annabel"/>
    <s v="Mettick"/>
    <x v="2"/>
    <n v="10200"/>
    <x v="2"/>
    <n v="15000"/>
    <n v="0"/>
  </r>
  <r>
    <x v="7"/>
    <x v="6"/>
    <s v="Olivia"/>
    <s v="Cheung"/>
    <x v="2"/>
    <n v="13923"/>
    <x v="2"/>
    <n v="15000"/>
    <n v="0"/>
  </r>
  <r>
    <x v="7"/>
    <x v="9"/>
    <s v="Emily"/>
    <s v="Whelan"/>
    <x v="2"/>
    <n v="17593.399999999998"/>
    <x v="0"/>
    <n v="15000"/>
    <n v="1759.34"/>
  </r>
  <r>
    <x v="7"/>
    <x v="16"/>
    <s v="Cory"/>
    <s v="Goodwin"/>
    <x v="2"/>
    <n v="17666"/>
    <x v="1"/>
    <n v="15000"/>
    <n v="1766.6000000000001"/>
  </r>
  <r>
    <x v="7"/>
    <x v="8"/>
    <s v="Annabel"/>
    <s v="Mettick"/>
    <x v="2"/>
    <n v="21420"/>
    <x v="2"/>
    <n v="15000"/>
    <n v="2142"/>
  </r>
  <r>
    <x v="7"/>
    <x v="6"/>
    <s v="Olivia"/>
    <s v="Cheung"/>
    <x v="2"/>
    <n v="24080"/>
    <x v="1"/>
    <n v="15000"/>
    <n v="2408"/>
  </r>
  <r>
    <x v="7"/>
    <x v="9"/>
    <s v="Emily"/>
    <s v="Whelan"/>
    <x v="2"/>
    <n v="27531"/>
    <x v="2"/>
    <n v="15000"/>
    <n v="2753.1000000000004"/>
  </r>
  <r>
    <x v="7"/>
    <x v="16"/>
    <s v="Cory"/>
    <s v="Goodwin"/>
    <x v="2"/>
    <n v="32795.700000000004"/>
    <x v="0"/>
    <n v="15000"/>
    <n v="3279.5700000000006"/>
  </r>
  <r>
    <x v="7"/>
    <x v="11"/>
    <s v="Ally"/>
    <s v="Bryant"/>
    <x v="3"/>
    <n v="3760.5"/>
    <x v="1"/>
    <n v="15000"/>
    <n v="0"/>
  </r>
  <r>
    <x v="7"/>
    <x v="11"/>
    <s v="Ally"/>
    <s v="Bryant"/>
    <x v="3"/>
    <n v="4322.8"/>
    <x v="2"/>
    <n v="15000"/>
    <n v="0"/>
  </r>
  <r>
    <x v="7"/>
    <x v="11"/>
    <s v="Ally"/>
    <s v="Bryant"/>
    <x v="3"/>
    <n v="9697.6"/>
    <x v="0"/>
    <n v="15000"/>
    <n v="0"/>
  </r>
  <r>
    <x v="7"/>
    <x v="11"/>
    <s v="Ally"/>
    <s v="Bryant"/>
    <x v="3"/>
    <n v="10391.699999999999"/>
    <x v="2"/>
    <n v="15000"/>
    <n v="0"/>
  </r>
  <r>
    <x v="7"/>
    <x v="13"/>
    <s v="Spencer"/>
    <s v="Cruz"/>
    <x v="3"/>
    <n v="15670.2"/>
    <x v="2"/>
    <n v="15000"/>
    <n v="1567.0200000000002"/>
  </r>
  <r>
    <x v="7"/>
    <x v="12"/>
    <s v="Josh"/>
    <s v="Sutherland"/>
    <x v="3"/>
    <n v="22477.9"/>
    <x v="0"/>
    <n v="15000"/>
    <n v="2247.7900000000004"/>
  </r>
  <r>
    <x v="7"/>
    <x v="12"/>
    <s v="Josh"/>
    <s v="Sutherland"/>
    <x v="3"/>
    <n v="36088.1"/>
    <x v="2"/>
    <n v="15000"/>
    <n v="3608.81"/>
  </r>
  <r>
    <x v="7"/>
    <x v="10"/>
    <s v="Nina"/>
    <s v="McDonald"/>
    <x v="3"/>
    <n v="43388.100000000006"/>
    <x v="0"/>
    <n v="15000"/>
    <n v="4338.8100000000004"/>
  </r>
  <r>
    <x v="8"/>
    <x v="2"/>
    <s v="Ashley"/>
    <s v="Almanza"/>
    <x v="0"/>
    <n v="5572.3"/>
    <x v="1"/>
    <n v="15000"/>
    <n v="0"/>
  </r>
  <r>
    <x v="8"/>
    <x v="0"/>
    <s v="Reza"/>
    <s v="Jafari"/>
    <x v="0"/>
    <n v="7496.9999999999991"/>
    <x v="0"/>
    <n v="15000"/>
    <n v="0"/>
  </r>
  <r>
    <x v="8"/>
    <x v="3"/>
    <s v="Derek"/>
    <s v="Godwin"/>
    <x v="0"/>
    <n v="9651.1999999999989"/>
    <x v="1"/>
    <n v="15000"/>
    <n v="0"/>
  </r>
  <r>
    <x v="8"/>
    <x v="2"/>
    <s v="Ashley"/>
    <s v="Almanza"/>
    <x v="0"/>
    <n v="10492.199999999997"/>
    <x v="2"/>
    <n v="15000"/>
    <n v="0"/>
  </r>
  <r>
    <x v="8"/>
    <x v="2"/>
    <s v="Ashley"/>
    <s v="Almanza"/>
    <x v="0"/>
    <n v="18396.7"/>
    <x v="1"/>
    <n v="15000"/>
    <n v="1839.67"/>
  </r>
  <r>
    <x v="8"/>
    <x v="3"/>
    <s v="Derek"/>
    <s v="Godwin"/>
    <x v="0"/>
    <n v="23849.599999999999"/>
    <x v="1"/>
    <n v="15000"/>
    <n v="2384.96"/>
  </r>
  <r>
    <x v="8"/>
    <x v="1"/>
    <s v="Bryan"/>
    <s v="Maldonado"/>
    <x v="0"/>
    <n v="23882.399999999998"/>
    <x v="2"/>
    <n v="15000"/>
    <n v="2388.2399999999998"/>
  </r>
  <r>
    <x v="8"/>
    <x v="3"/>
    <s v="Derek"/>
    <s v="Godwin"/>
    <x v="0"/>
    <n v="34041.300000000003"/>
    <x v="2"/>
    <n v="15000"/>
    <n v="3404.1300000000006"/>
  </r>
  <r>
    <x v="8"/>
    <x v="19"/>
    <s v="Jonah"/>
    <s v="Seitz"/>
    <x v="1"/>
    <n v="3710"/>
    <x v="2"/>
    <n v="15000"/>
    <n v="0"/>
  </r>
  <r>
    <x v="8"/>
    <x v="18"/>
    <s v="Charlotte"/>
    <s v="Edwards"/>
    <x v="1"/>
    <n v="6600"/>
    <x v="1"/>
    <n v="15000"/>
    <n v="0"/>
  </r>
  <r>
    <x v="8"/>
    <x v="15"/>
    <s v="Sarah"/>
    <s v="Gibbs"/>
    <x v="1"/>
    <n v="8001"/>
    <x v="1"/>
    <n v="15000"/>
    <n v="0"/>
  </r>
  <r>
    <x v="8"/>
    <x v="19"/>
    <s v="Jonah"/>
    <s v="Seitz"/>
    <x v="1"/>
    <n v="8772"/>
    <x v="0"/>
    <n v="15000"/>
    <n v="0"/>
  </r>
  <r>
    <x v="8"/>
    <x v="19"/>
    <s v="Jonah"/>
    <s v="Seitz"/>
    <x v="1"/>
    <n v="14089.199999999999"/>
    <x v="0"/>
    <n v="15000"/>
    <n v="0"/>
  </r>
  <r>
    <x v="8"/>
    <x v="4"/>
    <s v="Chloe"/>
    <s v="Fusaro"/>
    <x v="1"/>
    <n v="16702.400000000001"/>
    <x v="0"/>
    <n v="15000"/>
    <n v="1670.2400000000002"/>
  </r>
  <r>
    <x v="8"/>
    <x v="4"/>
    <s v="Chloe"/>
    <s v="Fusaro"/>
    <x v="1"/>
    <n v="21216"/>
    <x v="0"/>
    <n v="15000"/>
    <n v="2121.6"/>
  </r>
  <r>
    <x v="8"/>
    <x v="18"/>
    <s v="Charlotte"/>
    <s v="Edwards"/>
    <x v="1"/>
    <n v="21546"/>
    <x v="1"/>
    <n v="15000"/>
    <n v="2154.6"/>
  </r>
  <r>
    <x v="8"/>
    <x v="18"/>
    <s v="Charlotte"/>
    <s v="Edwards"/>
    <x v="1"/>
    <n v="31186.6"/>
    <x v="1"/>
    <n v="15000"/>
    <n v="3118.66"/>
  </r>
  <r>
    <x v="8"/>
    <x v="4"/>
    <s v="Chloe"/>
    <s v="Fusaro"/>
    <x v="1"/>
    <n v="31999.200000000001"/>
    <x v="0"/>
    <n v="15000"/>
    <n v="3199.92"/>
  </r>
  <r>
    <x v="8"/>
    <x v="18"/>
    <s v="Charlotte"/>
    <s v="Edwards"/>
    <x v="1"/>
    <n v="37520"/>
    <x v="0"/>
    <n v="15000"/>
    <n v="3752"/>
  </r>
  <r>
    <x v="8"/>
    <x v="18"/>
    <s v="Charlotte"/>
    <s v="Edwards"/>
    <x v="1"/>
    <n v="41215.299999999996"/>
    <x v="2"/>
    <n v="15000"/>
    <n v="4121.53"/>
  </r>
  <r>
    <x v="8"/>
    <x v="9"/>
    <s v="Emily"/>
    <s v="Whelan"/>
    <x v="2"/>
    <n v="7008"/>
    <x v="2"/>
    <n v="15000"/>
    <n v="0"/>
  </r>
  <r>
    <x v="8"/>
    <x v="6"/>
    <s v="Olivia"/>
    <s v="Cheung"/>
    <x v="2"/>
    <n v="8099.6999999999989"/>
    <x v="1"/>
    <n v="15000"/>
    <n v="0"/>
  </r>
  <r>
    <x v="8"/>
    <x v="8"/>
    <s v="Annabel"/>
    <s v="Mettick"/>
    <x v="2"/>
    <n v="9840"/>
    <x v="0"/>
    <n v="15000"/>
    <n v="0"/>
  </r>
  <r>
    <x v="8"/>
    <x v="7"/>
    <s v="Jason"/>
    <s v="Jackaki"/>
    <x v="2"/>
    <n v="10218"/>
    <x v="0"/>
    <n v="15000"/>
    <n v="0"/>
  </r>
  <r>
    <x v="8"/>
    <x v="8"/>
    <s v="Annabel"/>
    <s v="Mettick"/>
    <x v="2"/>
    <n v="14311.2"/>
    <x v="1"/>
    <n v="15000"/>
    <n v="0"/>
  </r>
  <r>
    <x v="8"/>
    <x v="8"/>
    <s v="Annabel"/>
    <s v="Mettick"/>
    <x v="2"/>
    <n v="14715.2"/>
    <x v="0"/>
    <n v="15000"/>
    <n v="0"/>
  </r>
  <r>
    <x v="8"/>
    <x v="16"/>
    <s v="Cory"/>
    <s v="Goodwin"/>
    <x v="2"/>
    <n v="19147.8"/>
    <x v="0"/>
    <n v="15000"/>
    <n v="1914.78"/>
  </r>
  <r>
    <x v="8"/>
    <x v="8"/>
    <s v="Annabel"/>
    <s v="Mettick"/>
    <x v="2"/>
    <n v="20760.300000000003"/>
    <x v="0"/>
    <n v="15000"/>
    <n v="2076.0300000000002"/>
  </r>
  <r>
    <x v="8"/>
    <x v="16"/>
    <s v="Cory"/>
    <s v="Goodwin"/>
    <x v="2"/>
    <n v="24579.8"/>
    <x v="1"/>
    <n v="15000"/>
    <n v="2457.98"/>
  </r>
  <r>
    <x v="8"/>
    <x v="16"/>
    <s v="Cory"/>
    <s v="Goodwin"/>
    <x v="2"/>
    <n v="25946.300000000003"/>
    <x v="2"/>
    <n v="15000"/>
    <n v="2594.6300000000006"/>
  </r>
  <r>
    <x v="8"/>
    <x v="6"/>
    <s v="Olivia"/>
    <s v="Cheung"/>
    <x v="2"/>
    <n v="30367.999999999996"/>
    <x v="0"/>
    <n v="15000"/>
    <n v="3036.7999999999997"/>
  </r>
  <r>
    <x v="8"/>
    <x v="9"/>
    <s v="Emily"/>
    <s v="Whelan"/>
    <x v="2"/>
    <n v="35640"/>
    <x v="1"/>
    <n v="15000"/>
    <n v="3564"/>
  </r>
  <r>
    <x v="8"/>
    <x v="17"/>
    <s v="Tia"/>
    <s v="Cruise"/>
    <x v="3"/>
    <n v="7714"/>
    <x v="1"/>
    <n v="15000"/>
    <n v="0"/>
  </r>
  <r>
    <x v="8"/>
    <x v="10"/>
    <s v="Nina"/>
    <s v="McDonald"/>
    <x v="3"/>
    <n v="15152.399999999998"/>
    <x v="2"/>
    <n v="15000"/>
    <n v="1515.2399999999998"/>
  </r>
  <r>
    <x v="8"/>
    <x v="11"/>
    <s v="Ally"/>
    <s v="Bryant"/>
    <x v="3"/>
    <n v="16363.900000000001"/>
    <x v="1"/>
    <n v="15000"/>
    <n v="1636.3900000000003"/>
  </r>
  <r>
    <x v="9"/>
    <x v="14"/>
    <s v="Gordon"/>
    <s v="Beswick"/>
    <x v="0"/>
    <n v="3243.6000000000004"/>
    <x v="1"/>
    <n v="15000"/>
    <n v="0"/>
  </r>
  <r>
    <x v="9"/>
    <x v="0"/>
    <s v="Reza"/>
    <s v="Jafari"/>
    <x v="0"/>
    <n v="12633.599999999999"/>
    <x v="0"/>
    <n v="15000"/>
    <n v="0"/>
  </r>
  <r>
    <x v="9"/>
    <x v="14"/>
    <s v="Gordon"/>
    <s v="Beswick"/>
    <x v="0"/>
    <n v="12806.399999999998"/>
    <x v="2"/>
    <n v="15000"/>
    <n v="0"/>
  </r>
  <r>
    <x v="9"/>
    <x v="3"/>
    <s v="Derek"/>
    <s v="Godwin"/>
    <x v="0"/>
    <n v="20031.199999999997"/>
    <x v="2"/>
    <n v="15000"/>
    <n v="2003.12"/>
  </r>
  <r>
    <x v="9"/>
    <x v="2"/>
    <s v="Ashley"/>
    <s v="Almanza"/>
    <x v="0"/>
    <n v="21485.200000000001"/>
    <x v="0"/>
    <n v="15000"/>
    <n v="2148.52"/>
  </r>
  <r>
    <x v="9"/>
    <x v="1"/>
    <s v="Bryan"/>
    <s v="Maldonado"/>
    <x v="0"/>
    <n v="22607.200000000004"/>
    <x v="1"/>
    <n v="15000"/>
    <n v="2260.7200000000007"/>
  </r>
  <r>
    <x v="9"/>
    <x v="4"/>
    <s v="Chloe"/>
    <s v="Fusaro"/>
    <x v="1"/>
    <n v="3035.1"/>
    <x v="0"/>
    <n v="15000"/>
    <n v="0"/>
  </r>
  <r>
    <x v="9"/>
    <x v="18"/>
    <s v="Charlotte"/>
    <s v="Edwards"/>
    <x v="1"/>
    <n v="6688"/>
    <x v="0"/>
    <n v="15000"/>
    <n v="0"/>
  </r>
  <r>
    <x v="9"/>
    <x v="4"/>
    <s v="Chloe"/>
    <s v="Fusaro"/>
    <x v="1"/>
    <n v="7024.2"/>
    <x v="2"/>
    <n v="15000"/>
    <n v="0"/>
  </r>
  <r>
    <x v="9"/>
    <x v="18"/>
    <s v="Charlotte"/>
    <s v="Edwards"/>
    <x v="1"/>
    <n v="7139.0000000000009"/>
    <x v="1"/>
    <n v="15000"/>
    <n v="0"/>
  </r>
  <r>
    <x v="9"/>
    <x v="19"/>
    <s v="Jonah"/>
    <s v="Seitz"/>
    <x v="1"/>
    <n v="10948"/>
    <x v="0"/>
    <n v="15000"/>
    <n v="0"/>
  </r>
  <r>
    <x v="9"/>
    <x v="19"/>
    <s v="Jonah"/>
    <s v="Seitz"/>
    <x v="1"/>
    <n v="10988.800000000001"/>
    <x v="1"/>
    <n v="15000"/>
    <n v="0"/>
  </r>
  <r>
    <x v="9"/>
    <x v="19"/>
    <s v="Jonah"/>
    <s v="Seitz"/>
    <x v="1"/>
    <n v="12306.6"/>
    <x v="0"/>
    <n v="15000"/>
    <n v="0"/>
  </r>
  <r>
    <x v="9"/>
    <x v="19"/>
    <s v="Jonah"/>
    <s v="Seitz"/>
    <x v="1"/>
    <n v="16077"/>
    <x v="0"/>
    <n v="15000"/>
    <n v="1607.7"/>
  </r>
  <r>
    <x v="9"/>
    <x v="5"/>
    <s v="David"/>
    <s v="Wilkinson"/>
    <x v="1"/>
    <n v="19594"/>
    <x v="0"/>
    <n v="15000"/>
    <n v="1959.4"/>
  </r>
  <r>
    <x v="9"/>
    <x v="4"/>
    <s v="Chloe"/>
    <s v="Fusaro"/>
    <x v="1"/>
    <n v="19946.199999999997"/>
    <x v="2"/>
    <n v="15000"/>
    <n v="1994.62"/>
  </r>
  <r>
    <x v="9"/>
    <x v="15"/>
    <s v="Sarah"/>
    <s v="Gibbs"/>
    <x v="1"/>
    <n v="26773.4"/>
    <x v="2"/>
    <n v="15000"/>
    <n v="2677.34"/>
  </r>
  <r>
    <x v="9"/>
    <x v="19"/>
    <s v="Jonah"/>
    <s v="Seitz"/>
    <x v="1"/>
    <n v="28464.9"/>
    <x v="2"/>
    <n v="15000"/>
    <n v="2846.4900000000002"/>
  </r>
  <r>
    <x v="9"/>
    <x v="18"/>
    <s v="Charlotte"/>
    <s v="Edwards"/>
    <x v="1"/>
    <n v="37544.800000000003"/>
    <x v="1"/>
    <n v="15000"/>
    <n v="3754.4800000000005"/>
  </r>
  <r>
    <x v="9"/>
    <x v="19"/>
    <s v="Jonah"/>
    <s v="Seitz"/>
    <x v="1"/>
    <n v="40224.800000000003"/>
    <x v="1"/>
    <n v="15000"/>
    <n v="4022.4800000000005"/>
  </r>
  <r>
    <x v="9"/>
    <x v="5"/>
    <s v="David"/>
    <s v="Wilkinson"/>
    <x v="1"/>
    <n v="43591.8"/>
    <x v="1"/>
    <n v="15000"/>
    <n v="4359.18"/>
  </r>
  <r>
    <x v="9"/>
    <x v="7"/>
    <s v="Jason"/>
    <s v="Jackaki"/>
    <x v="2"/>
    <n v="4201.6000000000004"/>
    <x v="0"/>
    <n v="15000"/>
    <n v="0"/>
  </r>
  <r>
    <x v="9"/>
    <x v="6"/>
    <s v="Olivia"/>
    <s v="Cheung"/>
    <x v="2"/>
    <n v="15262.8"/>
    <x v="2"/>
    <n v="15000"/>
    <n v="1526.28"/>
  </r>
  <r>
    <x v="9"/>
    <x v="16"/>
    <s v="Cory"/>
    <s v="Goodwin"/>
    <x v="2"/>
    <n v="20790"/>
    <x v="0"/>
    <n v="15000"/>
    <n v="2079"/>
  </r>
  <r>
    <x v="9"/>
    <x v="7"/>
    <s v="Jason"/>
    <s v="Jackaki"/>
    <x v="2"/>
    <n v="21878.5"/>
    <x v="1"/>
    <n v="15000"/>
    <n v="2187.85"/>
  </r>
  <r>
    <x v="9"/>
    <x v="16"/>
    <s v="Cory"/>
    <s v="Goodwin"/>
    <x v="2"/>
    <n v="22136.800000000003"/>
    <x v="1"/>
    <n v="15000"/>
    <n v="2213.6800000000003"/>
  </r>
  <r>
    <x v="9"/>
    <x v="16"/>
    <s v="Cory"/>
    <s v="Goodwin"/>
    <x v="2"/>
    <n v="23240.400000000001"/>
    <x v="0"/>
    <n v="15000"/>
    <n v="2324.0400000000004"/>
  </r>
  <r>
    <x v="9"/>
    <x v="7"/>
    <s v="Jason"/>
    <s v="Jackaki"/>
    <x v="2"/>
    <n v="41989.599999999999"/>
    <x v="1"/>
    <n v="15000"/>
    <n v="4198.96"/>
  </r>
  <r>
    <x v="9"/>
    <x v="10"/>
    <s v="Nina"/>
    <s v="McDonald"/>
    <x v="3"/>
    <n v="2997.2"/>
    <x v="1"/>
    <n v="15000"/>
    <n v="0"/>
  </r>
  <r>
    <x v="9"/>
    <x v="17"/>
    <s v="Tia"/>
    <s v="Cruise"/>
    <x v="3"/>
    <n v="7195.9999999999991"/>
    <x v="0"/>
    <n v="15000"/>
    <n v="0"/>
  </r>
  <r>
    <x v="9"/>
    <x v="12"/>
    <s v="Josh"/>
    <s v="Sutherland"/>
    <x v="3"/>
    <n v="10595.2"/>
    <x v="2"/>
    <n v="15000"/>
    <n v="0"/>
  </r>
  <r>
    <x v="9"/>
    <x v="17"/>
    <s v="Tia"/>
    <s v="Cruise"/>
    <x v="3"/>
    <n v="10694.7"/>
    <x v="2"/>
    <n v="15000"/>
    <n v="0"/>
  </r>
  <r>
    <x v="9"/>
    <x v="12"/>
    <s v="Josh"/>
    <s v="Sutherland"/>
    <x v="3"/>
    <n v="14235.4"/>
    <x v="2"/>
    <n v="15000"/>
    <n v="0"/>
  </r>
  <r>
    <x v="9"/>
    <x v="12"/>
    <s v="Josh"/>
    <s v="Sutherland"/>
    <x v="3"/>
    <n v="36530.199999999997"/>
    <x v="0"/>
    <n v="15000"/>
    <n v="3653.02"/>
  </r>
  <r>
    <x v="9"/>
    <x v="13"/>
    <s v="Spencer"/>
    <s v="Cruz"/>
    <x v="3"/>
    <n v="36896.199999999997"/>
    <x v="2"/>
    <n v="15000"/>
    <n v="3689.62"/>
  </r>
  <r>
    <x v="9"/>
    <x v="10"/>
    <s v="Nina"/>
    <s v="McDonald"/>
    <x v="3"/>
    <n v="41420.699999999997"/>
    <x v="1"/>
    <n v="15000"/>
    <n v="4142.07"/>
  </r>
  <r>
    <x v="10"/>
    <x v="3"/>
    <s v="Derek"/>
    <s v="Godwin"/>
    <x v="0"/>
    <n v="5130"/>
    <x v="0"/>
    <n v="15000"/>
    <n v="0"/>
  </r>
  <r>
    <x v="10"/>
    <x v="2"/>
    <s v="Ashley"/>
    <s v="Almanza"/>
    <x v="0"/>
    <n v="8810.9"/>
    <x v="1"/>
    <n v="15000"/>
    <n v="0"/>
  </r>
  <r>
    <x v="10"/>
    <x v="14"/>
    <s v="Gordon"/>
    <s v="Beswick"/>
    <x v="0"/>
    <n v="16606"/>
    <x v="1"/>
    <n v="15000"/>
    <n v="1660.6000000000001"/>
  </r>
  <r>
    <x v="10"/>
    <x v="3"/>
    <s v="Derek"/>
    <s v="Godwin"/>
    <x v="0"/>
    <n v="17766"/>
    <x v="1"/>
    <n v="15000"/>
    <n v="1776.6000000000001"/>
  </r>
  <r>
    <x v="10"/>
    <x v="0"/>
    <s v="Reza"/>
    <s v="Jafari"/>
    <x v="0"/>
    <n v="20916"/>
    <x v="1"/>
    <n v="15000"/>
    <n v="2091.6"/>
  </r>
  <r>
    <x v="10"/>
    <x v="0"/>
    <s v="Reza"/>
    <s v="Jafari"/>
    <x v="0"/>
    <n v="22396.5"/>
    <x v="2"/>
    <n v="15000"/>
    <n v="2239.65"/>
  </r>
  <r>
    <x v="10"/>
    <x v="3"/>
    <s v="Derek"/>
    <s v="Godwin"/>
    <x v="0"/>
    <n v="25633.5"/>
    <x v="0"/>
    <n v="15000"/>
    <n v="2563.3500000000004"/>
  </r>
  <r>
    <x v="10"/>
    <x v="0"/>
    <s v="Reza"/>
    <s v="Jafari"/>
    <x v="0"/>
    <n v="37374.399999999994"/>
    <x v="2"/>
    <n v="15000"/>
    <n v="3737.4399999999996"/>
  </r>
  <r>
    <x v="10"/>
    <x v="15"/>
    <s v="Sarah"/>
    <s v="Gibbs"/>
    <x v="1"/>
    <n v="9292.5"/>
    <x v="0"/>
    <n v="15000"/>
    <n v="0"/>
  </r>
  <r>
    <x v="10"/>
    <x v="5"/>
    <s v="David"/>
    <s v="Wilkinson"/>
    <x v="1"/>
    <n v="28761.599999999999"/>
    <x v="2"/>
    <n v="15000"/>
    <n v="2876.16"/>
  </r>
  <r>
    <x v="10"/>
    <x v="19"/>
    <s v="Jonah"/>
    <s v="Seitz"/>
    <x v="1"/>
    <n v="41932.799999999996"/>
    <x v="1"/>
    <n v="15000"/>
    <n v="4193.28"/>
  </r>
  <r>
    <x v="10"/>
    <x v="4"/>
    <s v="Chloe"/>
    <s v="Fusaro"/>
    <x v="1"/>
    <n v="42427"/>
    <x v="0"/>
    <n v="15000"/>
    <n v="4242.7"/>
  </r>
  <r>
    <x v="10"/>
    <x v="15"/>
    <s v="Sarah"/>
    <s v="Gibbs"/>
    <x v="1"/>
    <n v="47510.400000000001"/>
    <x v="0"/>
    <n v="15000"/>
    <n v="4751.04"/>
  </r>
  <r>
    <x v="10"/>
    <x v="8"/>
    <s v="Annabel"/>
    <s v="Mettick"/>
    <x v="2"/>
    <n v="9006"/>
    <x v="2"/>
    <n v="15000"/>
    <n v="0"/>
  </r>
  <r>
    <x v="10"/>
    <x v="7"/>
    <s v="Jason"/>
    <s v="Jackaki"/>
    <x v="2"/>
    <n v="10573.5"/>
    <x v="1"/>
    <n v="15000"/>
    <n v="0"/>
  </r>
  <r>
    <x v="10"/>
    <x v="9"/>
    <s v="Emily"/>
    <s v="Whelan"/>
    <x v="2"/>
    <n v="13230"/>
    <x v="0"/>
    <n v="15000"/>
    <n v="0"/>
  </r>
  <r>
    <x v="10"/>
    <x v="6"/>
    <s v="Olivia"/>
    <s v="Cheung"/>
    <x v="2"/>
    <n v="15403.600000000002"/>
    <x v="0"/>
    <n v="15000"/>
    <n v="1540.3600000000004"/>
  </r>
  <r>
    <x v="10"/>
    <x v="8"/>
    <s v="Annabel"/>
    <s v="Mettick"/>
    <x v="2"/>
    <n v="16394.399999999998"/>
    <x v="0"/>
    <n v="15000"/>
    <n v="1639.4399999999998"/>
  </r>
  <r>
    <x v="10"/>
    <x v="8"/>
    <s v="Annabel"/>
    <s v="Mettick"/>
    <x v="2"/>
    <n v="16606"/>
    <x v="2"/>
    <n v="15000"/>
    <n v="1660.6000000000001"/>
  </r>
  <r>
    <x v="10"/>
    <x v="6"/>
    <s v="Olivia"/>
    <s v="Cheung"/>
    <x v="2"/>
    <n v="18452.599999999999"/>
    <x v="2"/>
    <n v="15000"/>
    <n v="1845.26"/>
  </r>
  <r>
    <x v="10"/>
    <x v="7"/>
    <s v="Jason"/>
    <s v="Jackaki"/>
    <x v="2"/>
    <n v="20062.5"/>
    <x v="1"/>
    <n v="15000"/>
    <n v="2006.25"/>
  </r>
  <r>
    <x v="10"/>
    <x v="16"/>
    <s v="Cory"/>
    <s v="Goodwin"/>
    <x v="2"/>
    <n v="22900.499999999996"/>
    <x v="1"/>
    <n v="15000"/>
    <n v="2290.0499999999997"/>
  </r>
  <r>
    <x v="10"/>
    <x v="16"/>
    <s v="Cory"/>
    <s v="Goodwin"/>
    <x v="2"/>
    <n v="23057.999999999996"/>
    <x v="2"/>
    <n v="15000"/>
    <n v="2305.7999999999997"/>
  </r>
  <r>
    <x v="10"/>
    <x v="8"/>
    <s v="Annabel"/>
    <s v="Mettick"/>
    <x v="2"/>
    <n v="37560"/>
    <x v="2"/>
    <n v="15000"/>
    <n v="3756"/>
  </r>
  <r>
    <x v="10"/>
    <x v="7"/>
    <s v="Jason"/>
    <s v="Jackaki"/>
    <x v="2"/>
    <n v="38570"/>
    <x v="1"/>
    <n v="15000"/>
    <n v="3857"/>
  </r>
  <r>
    <x v="10"/>
    <x v="6"/>
    <s v="Olivia"/>
    <s v="Cheung"/>
    <x v="2"/>
    <n v="39199.599999999999"/>
    <x v="2"/>
    <n v="15000"/>
    <n v="3919.96"/>
  </r>
  <r>
    <x v="10"/>
    <x v="12"/>
    <s v="Josh"/>
    <s v="Sutherland"/>
    <x v="3"/>
    <n v="6900"/>
    <x v="0"/>
    <n v="15000"/>
    <n v="0"/>
  </r>
  <r>
    <x v="10"/>
    <x v="13"/>
    <s v="Spencer"/>
    <s v="Cruz"/>
    <x v="3"/>
    <n v="9683"/>
    <x v="2"/>
    <n v="15000"/>
    <n v="0"/>
  </r>
  <r>
    <x v="10"/>
    <x v="11"/>
    <s v="Ally"/>
    <s v="Bryant"/>
    <x v="3"/>
    <n v="14302.9"/>
    <x v="1"/>
    <n v="15000"/>
    <n v="0"/>
  </r>
  <r>
    <x v="10"/>
    <x v="10"/>
    <s v="Nina"/>
    <s v="McDonald"/>
    <x v="3"/>
    <n v="16806.400000000001"/>
    <x v="1"/>
    <n v="15000"/>
    <n v="1680.6400000000003"/>
  </r>
  <r>
    <x v="10"/>
    <x v="17"/>
    <s v="Tia"/>
    <s v="Cruise"/>
    <x v="3"/>
    <n v="20797.200000000004"/>
    <x v="0"/>
    <n v="15000"/>
    <n v="2079.7200000000007"/>
  </r>
  <r>
    <x v="10"/>
    <x v="13"/>
    <s v="Spencer"/>
    <s v="Cruz"/>
    <x v="3"/>
    <n v="26866"/>
    <x v="2"/>
    <n v="15000"/>
    <n v="2686.6000000000004"/>
  </r>
  <r>
    <x v="11"/>
    <x v="3"/>
    <s v="Derek"/>
    <s v="Godwin"/>
    <x v="0"/>
    <n v="3817.9999999999995"/>
    <x v="1"/>
    <n v="15000"/>
    <n v="0"/>
  </r>
  <r>
    <x v="11"/>
    <x v="0"/>
    <s v="Reza"/>
    <s v="Jafari"/>
    <x v="0"/>
    <n v="8683.1999999999989"/>
    <x v="0"/>
    <n v="15000"/>
    <n v="0"/>
  </r>
  <r>
    <x v="11"/>
    <x v="2"/>
    <s v="Ashley"/>
    <s v="Almanza"/>
    <x v="0"/>
    <n v="11210"/>
    <x v="2"/>
    <n v="15000"/>
    <n v="0"/>
  </r>
  <r>
    <x v="11"/>
    <x v="14"/>
    <s v="Gordon"/>
    <s v="Beswick"/>
    <x v="0"/>
    <n v="12765.2"/>
    <x v="2"/>
    <n v="15000"/>
    <n v="0"/>
  </r>
  <r>
    <x v="11"/>
    <x v="3"/>
    <s v="Derek"/>
    <s v="Godwin"/>
    <x v="0"/>
    <n v="15921.999999999998"/>
    <x v="2"/>
    <n v="15000"/>
    <n v="1592.1999999999998"/>
  </r>
  <r>
    <x v="11"/>
    <x v="14"/>
    <s v="Gordon"/>
    <s v="Beswick"/>
    <x v="0"/>
    <n v="31970.799999999999"/>
    <x v="1"/>
    <n v="15000"/>
    <n v="3197.08"/>
  </r>
  <r>
    <x v="11"/>
    <x v="2"/>
    <s v="Ashley"/>
    <s v="Almanza"/>
    <x v="0"/>
    <n v="41520"/>
    <x v="1"/>
    <n v="15000"/>
    <n v="4152"/>
  </r>
  <r>
    <x v="11"/>
    <x v="2"/>
    <s v="Ashley"/>
    <s v="Almanza"/>
    <x v="0"/>
    <n v="45800.999999999993"/>
    <x v="0"/>
    <n v="15000"/>
    <n v="4580.0999999999995"/>
  </r>
  <r>
    <x v="11"/>
    <x v="5"/>
    <s v="David"/>
    <s v="Wilkinson"/>
    <x v="1"/>
    <n v="7721.5999999999995"/>
    <x v="1"/>
    <n v="15000"/>
    <n v="0"/>
  </r>
  <r>
    <x v="11"/>
    <x v="19"/>
    <s v="Jonah"/>
    <s v="Seitz"/>
    <x v="1"/>
    <n v="8925.7000000000007"/>
    <x v="1"/>
    <n v="15000"/>
    <n v="0"/>
  </r>
  <r>
    <x v="11"/>
    <x v="19"/>
    <s v="Jonah"/>
    <s v="Seitz"/>
    <x v="1"/>
    <n v="15802.6"/>
    <x v="2"/>
    <n v="15000"/>
    <n v="1580.2600000000002"/>
  </r>
  <r>
    <x v="11"/>
    <x v="15"/>
    <s v="Sarah"/>
    <s v="Gibbs"/>
    <x v="1"/>
    <n v="21103.3"/>
    <x v="2"/>
    <n v="15000"/>
    <n v="2110.33"/>
  </r>
  <r>
    <x v="11"/>
    <x v="15"/>
    <s v="Sarah"/>
    <s v="Gibbs"/>
    <x v="1"/>
    <n v="22351.100000000002"/>
    <x v="2"/>
    <n v="15000"/>
    <n v="2235.11"/>
  </r>
  <r>
    <x v="11"/>
    <x v="19"/>
    <s v="Jonah"/>
    <s v="Seitz"/>
    <x v="1"/>
    <n v="43974"/>
    <x v="1"/>
    <n v="15000"/>
    <n v="4397.4000000000005"/>
  </r>
  <r>
    <x v="11"/>
    <x v="8"/>
    <s v="Annabel"/>
    <s v="Mettick"/>
    <x v="2"/>
    <n v="8082.7999999999993"/>
    <x v="1"/>
    <n v="15000"/>
    <n v="0"/>
  </r>
  <r>
    <x v="11"/>
    <x v="7"/>
    <s v="Jason"/>
    <s v="Jackaki"/>
    <x v="2"/>
    <n v="9826.4"/>
    <x v="2"/>
    <n v="15000"/>
    <n v="0"/>
  </r>
  <r>
    <x v="11"/>
    <x v="16"/>
    <s v="Cory"/>
    <s v="Goodwin"/>
    <x v="2"/>
    <n v="12328"/>
    <x v="0"/>
    <n v="15000"/>
    <n v="0"/>
  </r>
  <r>
    <x v="11"/>
    <x v="8"/>
    <s v="Annabel"/>
    <s v="Mettick"/>
    <x v="2"/>
    <n v="24544"/>
    <x v="0"/>
    <n v="15000"/>
    <n v="2454.4"/>
  </r>
  <r>
    <x v="11"/>
    <x v="6"/>
    <s v="Olivia"/>
    <s v="Cheung"/>
    <x v="2"/>
    <n v="27350.400000000001"/>
    <x v="2"/>
    <n v="15000"/>
    <n v="2735.0400000000004"/>
  </r>
  <r>
    <x v="11"/>
    <x v="9"/>
    <s v="Emily"/>
    <s v="Whelan"/>
    <x v="2"/>
    <n v="28845"/>
    <x v="0"/>
    <n v="15000"/>
    <n v="2884.5"/>
  </r>
  <r>
    <x v="11"/>
    <x v="6"/>
    <s v="Olivia"/>
    <s v="Cheung"/>
    <x v="2"/>
    <n v="43593.599999999999"/>
    <x v="0"/>
    <n v="15000"/>
    <n v="4359.3599999999997"/>
  </r>
  <r>
    <x v="11"/>
    <x v="13"/>
    <s v="Spencer"/>
    <s v="Cruz"/>
    <x v="3"/>
    <n v="7009.2000000000007"/>
    <x v="0"/>
    <n v="15000"/>
    <n v="0"/>
  </r>
  <r>
    <x v="11"/>
    <x v="12"/>
    <s v="Josh"/>
    <s v="Sutherland"/>
    <x v="3"/>
    <n v="7088.9"/>
    <x v="1"/>
    <n v="15000"/>
    <n v="0"/>
  </r>
  <r>
    <x v="11"/>
    <x v="13"/>
    <s v="Spencer"/>
    <s v="Cruz"/>
    <x v="3"/>
    <n v="8095.5"/>
    <x v="1"/>
    <n v="15000"/>
    <n v="0"/>
  </r>
  <r>
    <x v="11"/>
    <x v="10"/>
    <s v="Nina"/>
    <s v="McDonald"/>
    <x v="3"/>
    <n v="8914.5"/>
    <x v="1"/>
    <n v="1500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0E2EC-FC88-4C17-B4B1-3658AA81B286}" name="PivotTable1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5" firstHeaderRow="0" firstDataRow="1" firstDataCol="1" rowPageCount="1" colPageCount="1"/>
  <pivotFields count="9">
    <pivotField axis="axisRow" compact="0" numFmtId="17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>
      <items count="21">
        <item h="1" x="11"/>
        <item h="1" x="8"/>
        <item x="2"/>
        <item h="1" x="1"/>
        <item h="1" x="18"/>
        <item h="1" x="4"/>
        <item h="1" x="16"/>
        <item h="1" x="5"/>
        <item h="1" x="3"/>
        <item h="1" x="9"/>
        <item h="1" x="14"/>
        <item h="1" x="7"/>
        <item h="1" x="19"/>
        <item h="1" x="12"/>
        <item h="1" x="10"/>
        <item h="1" x="6"/>
        <item h="1" x="0"/>
        <item h="1" x="15"/>
        <item h="1" x="13"/>
        <item h="1" x="17"/>
        <item t="default"/>
      </items>
    </pivotField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dataField="1" compact="0" numFmtId="2" outline="0" showAll="0"/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2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Total Sales (€)" fld="5" baseField="0" baseItem="0" numFmtId="164"/>
    <dataField name="% of Total Sales" fld="5" showDataAs="percentOfTotal" baseField="0" baseItem="0" numFmtId="10"/>
  </dataFields>
  <formats count="3">
    <format dxfId="25">
      <pivotArea outline="0" fieldPosition="0">
        <references count="1">
          <reference field="0" count="1" selected="0">
            <x v="0"/>
          </reference>
        </references>
      </pivotArea>
    </format>
    <format dxfId="26">
      <pivotArea outline="0" collapsedLevelsAreSubtotals="1" fieldPosition="0"/>
    </format>
    <format dxfId="27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mployee" xr10:uid="{9AD05E61-B052-4F7B-80D8-CFA38ABF995E}" sourceName="Employee">
  <pivotTables>
    <pivotTable tabId="8" name="PivotTable1"/>
  </pivotTables>
  <data>
    <tabular pivotCacheId="1253205756">
      <items count="20">
        <i x="11"/>
        <i x="8"/>
        <i x="2" s="1"/>
        <i x="1"/>
        <i x="18"/>
        <i x="4"/>
        <i x="16"/>
        <i x="5"/>
        <i x="3"/>
        <i x="9"/>
        <i x="14"/>
        <i x="7"/>
        <i x="19"/>
        <i x="12"/>
        <i x="10"/>
        <i x="6"/>
        <i x="0"/>
        <i x="15"/>
        <i x="13"/>
        <i x="17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ales_Area" xr10:uid="{DCCA6E6B-7EB8-44BD-89AD-D3EA282ABC8F}" sourceName="Sales Area">
  <pivotTables>
    <pivotTable tabId="8" name="PivotTable1"/>
  </pivotTables>
  <data>
    <tabular pivotCacheId="1253205756">
      <items count="4">
        <i x="0" s="1"/>
        <i x="1" s="1" nd="1"/>
        <i x="2" s="1" nd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mployee" xr10:uid="{7F63A236-473E-4615-A7A7-8D010D58F592}" cache="Slicer_Employee" caption="Employee" style="SlicerStyleDark2" rowHeight="228600"/>
  <slicer name="Sales Area" xr10:uid="{FF117C2D-52C5-43D6-9131-51DF02E86841}" cache="Slicer_Sales_Area" caption="Sales Area" style="SlicerStyleDark2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6F0D18A-B161-4161-ACB6-FA6E67A1B45D}" name="Sales_Data" displayName="Sales_Data" ref="A1:J391" totalsRowCount="1" dataDxfId="20">
  <autoFilter ref="A1:J390" xr:uid="{E6F0D18A-B161-4161-ACB6-FA6E67A1B45D}"/>
  <tableColumns count="10">
    <tableColumn id="1" xr3:uid="{29A9514B-6211-4346-BC52-EEFB69BA3A57}" name="Month" totalsRowLabel="Total" dataDxfId="18" totalsRowDxfId="19"/>
    <tableColumn id="2" xr3:uid="{67436387-ECF6-4F9E-BE7D-309D9D73E921}" name="Employee" dataDxfId="16" totalsRowDxfId="17"/>
    <tableColumn id="3" xr3:uid="{A61476A0-024C-4E96-BC10-5B953F7699C7}" name="First Name" dataDxfId="14" totalsRowDxfId="15"/>
    <tableColumn id="4" xr3:uid="{45CF2779-22E8-48C4-B14D-D4D537131946}" name="Last Name" dataDxfId="12" totalsRowDxfId="13"/>
    <tableColumn id="5" xr3:uid="{62789586-92AD-4745-920D-EC1CCCFA9701}" name="Sales Area" dataDxfId="10" totalsRowDxfId="11"/>
    <tableColumn id="6" xr3:uid="{71E2EBFB-F2D7-4292-B8D2-17BB93DF93ED}" name="Sales Amount" totalsRowFunction="custom" dataDxfId="8" totalsRowDxfId="9">
      <totalsRowFormula>SUBTOTAL(109,F2:F390)</totalsRowFormula>
    </tableColumn>
    <tableColumn id="7" xr3:uid="{F01852B6-9AA9-4E5F-9861-09916C692C98}" name="Payment Type" dataDxfId="6" totalsRowDxfId="7"/>
    <tableColumn id="8" xr3:uid="{9FF43B0D-A171-4EC7-A7D3-5663709C8F5E}" name="Targets" dataDxfId="4" totalsRowDxfId="5"/>
    <tableColumn id="9" xr3:uid="{265CCD7B-9B52-4B58-8B12-6CCAE2D36F40}" name="Commissions" totalsRowFunction="custom" dataDxfId="2" totalsRowDxfId="3">
      <calculatedColumnFormula array="1">IF(F2 &gt;= H2,F2 * commission, 0)</calculatedColumnFormula>
      <totalsRowFormula>SUBTOTAL(109,I2:I390)</totalsRowFormula>
    </tableColumn>
    <tableColumn id="10" xr3:uid="{C4477093-EB08-4EDB-8897-5A7489CADFFC}" name="Over/Under" dataDxfId="0" totalsRowDxfId="1">
      <calculatedColumnFormula>Sales_Data[[#This Row],[Sales Amount]] - Sales_Data[[#This Row],[Targets]]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D201-4F6B-46ED-9E23-1C55B150FDC1}">
  <sheetPr>
    <tabColor theme="4"/>
  </sheetPr>
  <dimension ref="A1:A11"/>
  <sheetViews>
    <sheetView workbookViewId="0">
      <selection activeCell="A2" sqref="A2"/>
    </sheetView>
  </sheetViews>
  <sheetFormatPr defaultRowHeight="15"/>
  <cols>
    <col min="1" max="1" width="36.7109375" bestFit="1" customWidth="1"/>
  </cols>
  <sheetData>
    <row r="1" spans="1:1" ht="46.5">
      <c r="A1" s="18" t="s">
        <v>0</v>
      </c>
    </row>
    <row r="2" spans="1:1">
      <c r="A2" s="20" t="s">
        <v>1</v>
      </c>
    </row>
    <row r="3" spans="1:1">
      <c r="A3" s="20" t="s">
        <v>2</v>
      </c>
    </row>
    <row r="4" spans="1:1">
      <c r="A4" s="20" t="s">
        <v>3</v>
      </c>
    </row>
    <row r="5" spans="1:1">
      <c r="A5" s="20" t="s">
        <v>4</v>
      </c>
    </row>
    <row r="6" spans="1:1">
      <c r="A6" s="20" t="s">
        <v>5</v>
      </c>
    </row>
    <row r="7" spans="1:1">
      <c r="A7" s="20" t="s">
        <v>6</v>
      </c>
    </row>
    <row r="8" spans="1:1">
      <c r="A8" s="20" t="s">
        <v>7</v>
      </c>
    </row>
    <row r="9" spans="1:1">
      <c r="A9" s="20" t="s">
        <v>8</v>
      </c>
    </row>
    <row r="10" spans="1:1">
      <c r="A10" s="20" t="s">
        <v>9</v>
      </c>
    </row>
    <row r="11" spans="1:1" ht="18.75">
      <c r="A11" s="19"/>
    </row>
  </sheetData>
  <hyperlinks>
    <hyperlink ref="A2" location="'All Sales'!A1" display="All Sales" xr:uid="{AEF729BB-454A-4C70-B9F1-3A8463DE7383}"/>
    <hyperlink ref="A3" location="'North'!A1" display="North" xr:uid="{3041393D-459B-4332-B9B6-B66481585B95}"/>
    <hyperlink ref="A4" location="'South'!A1" display="South" xr:uid="{1533C3E6-6083-4B7E-8071-977E4D150189}"/>
    <hyperlink ref="A5" location="'East'!A1" display="East" xr:uid="{A9346B71-70A5-4FD8-AAE3-FDE09D8B92A9}"/>
    <hyperlink ref="A6" location="'West'!A1" display="West" xr:uid="{082DF783-2880-4FFD-84F4-83DA5764FBB4}"/>
    <hyperlink ref="A7" location="'Copy of all Sales'!A1" display="Copy of all Sales" xr:uid="{E2A51C18-C790-40C1-9539-CF4165DEF048}"/>
    <hyperlink ref="A8" location="'Chart'!A1" display="Chart" xr:uid="{A2BFDA36-F7A6-49BD-A8AD-014EFCE55B9E}"/>
    <hyperlink ref="A9" location="'Sales Analysis'!A1" display="Sales Analysis" xr:uid="{D80817D4-FEBB-4A13-9F27-B9E0A038D1D9}"/>
    <hyperlink ref="A10" location="'New Staff'!A1" display="New Staff" xr:uid="{4AFBCBA3-3445-4F6A-ADE1-259A510E37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0037-2BC2-4571-9E50-1EF9658C6B29}">
  <sheetPr>
    <tabColor theme="5"/>
  </sheetPr>
  <dimension ref="A1:L750"/>
  <sheetViews>
    <sheetView workbookViewId="0"/>
  </sheetViews>
  <sheetFormatPr defaultRowHeight="15"/>
  <cols>
    <col min="1" max="1" width="10.42578125" bestFit="1" customWidth="1"/>
    <col min="2" max="2" width="15.7109375" style="2" bestFit="1" customWidth="1"/>
    <col min="3" max="3" width="9.5703125" style="2" bestFit="1" customWidth="1"/>
    <col min="4" max="4" width="9.7109375" style="2" bestFit="1" customWidth="1"/>
    <col min="5" max="5" width="9" style="2" bestFit="1" customWidth="1"/>
    <col min="6" max="6" width="11.7109375" style="7" bestFit="1" customWidth="1"/>
    <col min="7" max="7" width="12.28515625" style="2" bestFit="1" customWidth="1"/>
    <col min="8" max="8" width="6.85546875" style="7" bestFit="1" customWidth="1"/>
    <col min="9" max="9" width="11.42578125" style="7" bestFit="1" customWidth="1"/>
  </cols>
  <sheetData>
    <row r="1" spans="1:12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6" t="s">
        <v>15</v>
      </c>
      <c r="G1" s="4" t="s">
        <v>16</v>
      </c>
      <c r="H1" s="6" t="s">
        <v>17</v>
      </c>
      <c r="I1" s="6" t="s">
        <v>18</v>
      </c>
    </row>
    <row r="2" spans="1:12" ht="51.75">
      <c r="A2" s="5">
        <v>44197</v>
      </c>
      <c r="B2" s="4" t="s">
        <v>19</v>
      </c>
      <c r="C2" s="4" t="s">
        <v>20</v>
      </c>
      <c r="D2" s="4" t="s">
        <v>21</v>
      </c>
      <c r="E2" s="4" t="s">
        <v>4</v>
      </c>
      <c r="F2" s="6">
        <v>2954.7</v>
      </c>
      <c r="G2" s="4" t="s">
        <v>22</v>
      </c>
      <c r="H2" s="8" t="s">
        <v>23</v>
      </c>
      <c r="I2" s="8" cm="1">
        <f t="array" ref="I2">IF(F2 &gt;= H2,F2 * commission, 0)</f>
        <v>0</v>
      </c>
    </row>
    <row r="3" spans="1:12">
      <c r="A3" s="5">
        <v>44197</v>
      </c>
      <c r="B3" s="4" t="s">
        <v>24</v>
      </c>
      <c r="C3" s="4" t="s">
        <v>25</v>
      </c>
      <c r="D3" s="4" t="s">
        <v>26</v>
      </c>
      <c r="E3" s="4" t="s">
        <v>4</v>
      </c>
      <c r="F3" s="6">
        <v>6796.7999999999993</v>
      </c>
      <c r="G3" s="4" t="s">
        <v>27</v>
      </c>
      <c r="H3" s="9">
        <v>15000</v>
      </c>
      <c r="I3" s="8" cm="1">
        <f t="array" ref="I3">IF(F3 &gt;= H3,F3 * commission, 0)</f>
        <v>0</v>
      </c>
    </row>
    <row r="4" spans="1:12">
      <c r="A4" s="5">
        <v>44197</v>
      </c>
      <c r="B4" s="4" t="s">
        <v>24</v>
      </c>
      <c r="C4" s="4" t="s">
        <v>25</v>
      </c>
      <c r="D4" s="4" t="s">
        <v>26</v>
      </c>
      <c r="E4" s="4" t="s">
        <v>4</v>
      </c>
      <c r="F4" s="6">
        <v>8188</v>
      </c>
      <c r="G4" s="4" t="s">
        <v>28</v>
      </c>
      <c r="H4" s="9">
        <v>15000</v>
      </c>
      <c r="I4" s="8" cm="1">
        <f t="array" ref="I4">IF(F4 &gt;= H4,F4 * commission, 0)</f>
        <v>0</v>
      </c>
    </row>
    <row r="5" spans="1:12">
      <c r="A5" s="5">
        <v>44197</v>
      </c>
      <c r="B5" s="4" t="s">
        <v>19</v>
      </c>
      <c r="C5" s="4" t="s">
        <v>20</v>
      </c>
      <c r="D5" s="4" t="s">
        <v>21</v>
      </c>
      <c r="E5" s="4" t="s">
        <v>4</v>
      </c>
      <c r="F5" s="6">
        <v>9058.4</v>
      </c>
      <c r="G5" s="4" t="s">
        <v>27</v>
      </c>
      <c r="H5" s="9">
        <v>15000</v>
      </c>
      <c r="I5" s="8" cm="1">
        <f t="array" ref="I5">IF(F5 &gt;= H5,F5 * commission, 0)</f>
        <v>0</v>
      </c>
    </row>
    <row r="6" spans="1:12">
      <c r="A6" s="5">
        <v>44197</v>
      </c>
      <c r="B6" s="4" t="s">
        <v>24</v>
      </c>
      <c r="C6" s="4" t="s">
        <v>25</v>
      </c>
      <c r="D6" s="4" t="s">
        <v>26</v>
      </c>
      <c r="E6" s="4" t="s">
        <v>4</v>
      </c>
      <c r="F6" s="6">
        <v>12096</v>
      </c>
      <c r="G6" s="4" t="s">
        <v>28</v>
      </c>
      <c r="H6" s="9">
        <v>15000</v>
      </c>
      <c r="I6" s="8" cm="1">
        <f t="array" ref="I6">IF(F6 &gt;= H6,F6 * commission, 0)</f>
        <v>0</v>
      </c>
    </row>
    <row r="7" spans="1:12">
      <c r="A7" s="5">
        <v>44197</v>
      </c>
      <c r="B7" s="4" t="s">
        <v>29</v>
      </c>
      <c r="C7" s="4" t="s">
        <v>30</v>
      </c>
      <c r="D7" s="4" t="s">
        <v>31</v>
      </c>
      <c r="E7" s="4" t="s">
        <v>4</v>
      </c>
      <c r="F7" s="6">
        <v>15029</v>
      </c>
      <c r="G7" s="4" t="s">
        <v>22</v>
      </c>
      <c r="H7" s="9">
        <v>15000</v>
      </c>
      <c r="I7" s="8" cm="1">
        <f t="array" ref="I7">IF(F7 &gt;= H7,F7 * commission, 0)</f>
        <v>1502.9</v>
      </c>
    </row>
    <row r="8" spans="1:12">
      <c r="A8" s="5">
        <v>44197</v>
      </c>
      <c r="B8" s="4" t="s">
        <v>29</v>
      </c>
      <c r="C8" s="4" t="s">
        <v>30</v>
      </c>
      <c r="D8" s="4" t="s">
        <v>31</v>
      </c>
      <c r="E8" s="4" t="s">
        <v>4</v>
      </c>
      <c r="F8" s="6">
        <v>15264</v>
      </c>
      <c r="G8" s="4" t="s">
        <v>22</v>
      </c>
      <c r="H8" s="9">
        <v>15000</v>
      </c>
      <c r="I8" s="8" cm="1">
        <f t="array" ref="I8">IF(F8 &gt;= H8,F8 * commission, 0)</f>
        <v>1526.4</v>
      </c>
      <c r="L8" s="10">
        <v>0.1</v>
      </c>
    </row>
    <row r="9" spans="1:12">
      <c r="A9" s="5">
        <v>44197</v>
      </c>
      <c r="B9" s="4" t="s">
        <v>29</v>
      </c>
      <c r="C9" s="4" t="s">
        <v>30</v>
      </c>
      <c r="D9" s="4" t="s">
        <v>31</v>
      </c>
      <c r="E9" s="4" t="s">
        <v>4</v>
      </c>
      <c r="F9" s="6">
        <v>17353.599999999999</v>
      </c>
      <c r="G9" s="4" t="s">
        <v>27</v>
      </c>
      <c r="H9" s="9">
        <v>15000</v>
      </c>
      <c r="I9" s="8" cm="1">
        <f t="array" ref="I9">IF(F9 &gt;= H9,F9 * commission, 0)</f>
        <v>1735.36</v>
      </c>
    </row>
    <row r="10" spans="1:12">
      <c r="A10" s="5">
        <v>44197</v>
      </c>
      <c r="B10" s="4" t="s">
        <v>32</v>
      </c>
      <c r="C10" s="4" t="s">
        <v>33</v>
      </c>
      <c r="D10" s="4" t="s">
        <v>34</v>
      </c>
      <c r="E10" s="4" t="s">
        <v>4</v>
      </c>
      <c r="F10" s="6">
        <v>20140</v>
      </c>
      <c r="G10" s="4" t="s">
        <v>28</v>
      </c>
      <c r="H10" s="9">
        <v>15000</v>
      </c>
      <c r="I10" s="8" cm="1">
        <f t="array" ref="I10">IF(F10 &gt;= H10,F10 * commission, 0)</f>
        <v>2014</v>
      </c>
    </row>
    <row r="11" spans="1:12">
      <c r="A11" s="5">
        <v>44197</v>
      </c>
      <c r="B11" s="4" t="s">
        <v>32</v>
      </c>
      <c r="C11" s="4" t="s">
        <v>33</v>
      </c>
      <c r="D11" s="4" t="s">
        <v>34</v>
      </c>
      <c r="E11" s="4" t="s">
        <v>4</v>
      </c>
      <c r="F11" s="6">
        <v>35649</v>
      </c>
      <c r="G11" s="4" t="s">
        <v>27</v>
      </c>
      <c r="H11" s="9">
        <v>15000</v>
      </c>
      <c r="I11" s="8" cm="1">
        <f t="array" ref="I11">IF(F11 &gt;= H11,F11 * commission, 0)</f>
        <v>3564.9</v>
      </c>
    </row>
    <row r="12" spans="1:12">
      <c r="A12" s="5">
        <v>44197</v>
      </c>
      <c r="B12" s="4" t="s">
        <v>35</v>
      </c>
      <c r="C12" s="4" t="s">
        <v>36</v>
      </c>
      <c r="D12" s="4" t="s">
        <v>37</v>
      </c>
      <c r="E12" s="4" t="s">
        <v>2</v>
      </c>
      <c r="F12" s="6">
        <v>13310.4</v>
      </c>
      <c r="G12" s="4" t="s">
        <v>27</v>
      </c>
      <c r="H12" s="9">
        <v>15000</v>
      </c>
      <c r="I12" s="8" cm="1">
        <f t="array" ref="I12">IF(F12 &gt;= H12,F12 * commission, 0)</f>
        <v>0</v>
      </c>
    </row>
    <row r="13" spans="1:12">
      <c r="A13" s="5">
        <v>44197</v>
      </c>
      <c r="B13" s="4" t="s">
        <v>38</v>
      </c>
      <c r="C13" s="4" t="s">
        <v>39</v>
      </c>
      <c r="D13" s="4" t="s">
        <v>40</v>
      </c>
      <c r="E13" s="4" t="s">
        <v>2</v>
      </c>
      <c r="F13" s="6">
        <v>20366.100000000002</v>
      </c>
      <c r="G13" s="4" t="s">
        <v>28</v>
      </c>
      <c r="H13" s="9">
        <v>15000</v>
      </c>
      <c r="I13" s="8" cm="1">
        <f t="array" ref="I13">IF(F13 &gt;= H13,F13 * commission, 0)</f>
        <v>2036.6100000000004</v>
      </c>
    </row>
    <row r="14" spans="1:12">
      <c r="A14" s="5">
        <v>44197</v>
      </c>
      <c r="B14" s="4" t="s">
        <v>38</v>
      </c>
      <c r="C14" s="4" t="s">
        <v>39</v>
      </c>
      <c r="D14" s="4" t="s">
        <v>40</v>
      </c>
      <c r="E14" s="4" t="s">
        <v>2</v>
      </c>
      <c r="F14" s="6">
        <v>20880</v>
      </c>
      <c r="G14" s="4" t="s">
        <v>27</v>
      </c>
      <c r="H14" s="9">
        <v>15000</v>
      </c>
      <c r="I14" s="8" cm="1">
        <f t="array" ref="I14">IF(F14 &gt;= H14,F14 * commission, 0)</f>
        <v>2088</v>
      </c>
    </row>
    <row r="15" spans="1:12">
      <c r="A15" s="5">
        <v>44197</v>
      </c>
      <c r="B15" s="4" t="s">
        <v>35</v>
      </c>
      <c r="C15" s="4" t="s">
        <v>36</v>
      </c>
      <c r="D15" s="4" t="s">
        <v>37</v>
      </c>
      <c r="E15" s="4" t="s">
        <v>2</v>
      </c>
      <c r="F15" s="6">
        <v>23076.199999999997</v>
      </c>
      <c r="G15" s="4" t="s">
        <v>27</v>
      </c>
      <c r="H15" s="9">
        <v>15000</v>
      </c>
      <c r="I15" s="8" cm="1">
        <f t="array" ref="I15">IF(F15 &gt;= H15,F15 * commission, 0)</f>
        <v>2307.62</v>
      </c>
    </row>
    <row r="16" spans="1:12">
      <c r="A16" s="5">
        <v>44197</v>
      </c>
      <c r="B16" s="4" t="s">
        <v>35</v>
      </c>
      <c r="C16" s="4" t="s">
        <v>36</v>
      </c>
      <c r="D16" s="4" t="s">
        <v>37</v>
      </c>
      <c r="E16" s="4" t="s">
        <v>2</v>
      </c>
      <c r="F16" s="6">
        <v>25560</v>
      </c>
      <c r="G16" s="4" t="s">
        <v>27</v>
      </c>
      <c r="H16" s="9">
        <v>15000</v>
      </c>
      <c r="I16" s="8" cm="1">
        <f t="array" ref="I16">IF(F16 &gt;= H16,F16 * commission, 0)</f>
        <v>2556</v>
      </c>
    </row>
    <row r="17" spans="1:9">
      <c r="A17" s="5">
        <v>44197</v>
      </c>
      <c r="B17" s="4" t="s">
        <v>41</v>
      </c>
      <c r="C17" s="4" t="s">
        <v>42</v>
      </c>
      <c r="D17" s="4" t="s">
        <v>43</v>
      </c>
      <c r="E17" s="4" t="s">
        <v>3</v>
      </c>
      <c r="F17" s="6">
        <v>3008.3999999999996</v>
      </c>
      <c r="G17" s="4" t="s">
        <v>22</v>
      </c>
      <c r="H17" s="9">
        <v>15000</v>
      </c>
      <c r="I17" s="8" cm="1">
        <f t="array" ref="I17">IF(F17 &gt;= H17,F17 * commission, 0)</f>
        <v>0</v>
      </c>
    </row>
    <row r="18" spans="1:9">
      <c r="A18" s="5">
        <v>44197</v>
      </c>
      <c r="B18" s="4" t="s">
        <v>44</v>
      </c>
      <c r="C18" s="4" t="s">
        <v>45</v>
      </c>
      <c r="D18" s="4" t="s">
        <v>46</v>
      </c>
      <c r="E18" s="4" t="s">
        <v>3</v>
      </c>
      <c r="F18" s="6">
        <v>7221.5999999999995</v>
      </c>
      <c r="G18" s="4" t="s">
        <v>28</v>
      </c>
      <c r="H18" s="9">
        <v>15000</v>
      </c>
      <c r="I18" s="8" cm="1">
        <f t="array" ref="I18">IF(F18 &gt;= H18,F18 * commission, 0)</f>
        <v>0</v>
      </c>
    </row>
    <row r="19" spans="1:9">
      <c r="A19" s="5">
        <v>44197</v>
      </c>
      <c r="B19" s="4" t="s">
        <v>41</v>
      </c>
      <c r="C19" s="4" t="s">
        <v>42</v>
      </c>
      <c r="D19" s="4" t="s">
        <v>43</v>
      </c>
      <c r="E19" s="4" t="s">
        <v>3</v>
      </c>
      <c r="F19" s="6">
        <v>10903.199999999999</v>
      </c>
      <c r="G19" s="4" t="s">
        <v>22</v>
      </c>
      <c r="H19" s="9">
        <v>15000</v>
      </c>
      <c r="I19" s="8" cm="1">
        <f t="array" ref="I19">IF(F19 &gt;= H19,F19 * commission, 0)</f>
        <v>0</v>
      </c>
    </row>
    <row r="20" spans="1:9">
      <c r="A20" s="5">
        <v>44197</v>
      </c>
      <c r="B20" s="4" t="s">
        <v>47</v>
      </c>
      <c r="C20" s="4" t="s">
        <v>48</v>
      </c>
      <c r="D20" s="4" t="s">
        <v>49</v>
      </c>
      <c r="E20" s="4" t="s">
        <v>3</v>
      </c>
      <c r="F20" s="6">
        <v>14616</v>
      </c>
      <c r="G20" s="4" t="s">
        <v>22</v>
      </c>
      <c r="H20" s="9">
        <v>15000</v>
      </c>
      <c r="I20" s="8" cm="1">
        <f t="array" ref="I20">IF(F20 &gt;= H20,F20 * commission, 0)</f>
        <v>0</v>
      </c>
    </row>
    <row r="21" spans="1:9">
      <c r="A21" s="5">
        <v>44197</v>
      </c>
      <c r="B21" s="4" t="s">
        <v>50</v>
      </c>
      <c r="C21" s="4" t="s">
        <v>51</v>
      </c>
      <c r="D21" s="4" t="s">
        <v>52</v>
      </c>
      <c r="E21" s="4" t="s">
        <v>3</v>
      </c>
      <c r="F21" s="6">
        <v>18885.900000000001</v>
      </c>
      <c r="G21" s="4" t="s">
        <v>28</v>
      </c>
      <c r="H21" s="9">
        <v>15000</v>
      </c>
      <c r="I21" s="8" cm="1">
        <f t="array" ref="I21">IF(F21 &gt;= H21,F21 * commission, 0)</f>
        <v>1888.5900000000001</v>
      </c>
    </row>
    <row r="22" spans="1:9">
      <c r="A22" s="5">
        <v>44197</v>
      </c>
      <c r="B22" s="4" t="s">
        <v>50</v>
      </c>
      <c r="C22" s="4" t="s">
        <v>51</v>
      </c>
      <c r="D22" s="4" t="s">
        <v>52</v>
      </c>
      <c r="E22" s="4" t="s">
        <v>3</v>
      </c>
      <c r="F22" s="6">
        <v>24236</v>
      </c>
      <c r="G22" s="4" t="s">
        <v>27</v>
      </c>
      <c r="H22" s="9">
        <v>15000</v>
      </c>
      <c r="I22" s="8" cm="1">
        <f t="array" ref="I22">IF(F22 &gt;= H22,F22 * commission, 0)</f>
        <v>2423.6</v>
      </c>
    </row>
    <row r="23" spans="1:9">
      <c r="A23" s="5">
        <v>44197</v>
      </c>
      <c r="B23" s="4" t="s">
        <v>53</v>
      </c>
      <c r="C23" s="4" t="s">
        <v>54</v>
      </c>
      <c r="D23" s="4" t="s">
        <v>55</v>
      </c>
      <c r="E23" s="4" t="s">
        <v>5</v>
      </c>
      <c r="F23" s="6">
        <v>6945.4</v>
      </c>
      <c r="G23" s="4" t="s">
        <v>28</v>
      </c>
      <c r="H23" s="9">
        <v>15000</v>
      </c>
      <c r="I23" s="8" cm="1">
        <f t="array" ref="I23">IF(F23 &gt;= H23,F23 * commission, 0)</f>
        <v>0</v>
      </c>
    </row>
    <row r="24" spans="1:9">
      <c r="A24" s="5">
        <v>44197</v>
      </c>
      <c r="B24" s="4" t="s">
        <v>53</v>
      </c>
      <c r="C24" s="4" t="s">
        <v>54</v>
      </c>
      <c r="D24" s="4" t="s">
        <v>55</v>
      </c>
      <c r="E24" s="4" t="s">
        <v>5</v>
      </c>
      <c r="F24" s="6">
        <v>7658.2000000000007</v>
      </c>
      <c r="G24" s="4" t="s">
        <v>28</v>
      </c>
      <c r="H24" s="9">
        <v>15000</v>
      </c>
      <c r="I24" s="8" cm="1">
        <f t="array" ref="I24">IF(F24 &gt;= H24,F24 * commission, 0)</f>
        <v>0</v>
      </c>
    </row>
    <row r="25" spans="1:9">
      <c r="A25" s="5">
        <v>44197</v>
      </c>
      <c r="B25" s="4" t="s">
        <v>56</v>
      </c>
      <c r="C25" s="4" t="s">
        <v>57</v>
      </c>
      <c r="D25" s="4" t="s">
        <v>58</v>
      </c>
      <c r="E25" s="4" t="s">
        <v>5</v>
      </c>
      <c r="F25" s="6">
        <v>7658.5999999999985</v>
      </c>
      <c r="G25" s="4" t="s">
        <v>22</v>
      </c>
      <c r="H25" s="9">
        <v>15000</v>
      </c>
      <c r="I25" s="8" cm="1">
        <f t="array" ref="I25">IF(F25 &gt;= H25,F25 * commission, 0)</f>
        <v>0</v>
      </c>
    </row>
    <row r="26" spans="1:9">
      <c r="A26" s="5">
        <v>44197</v>
      </c>
      <c r="B26" s="4" t="s">
        <v>59</v>
      </c>
      <c r="C26" s="4" t="s">
        <v>60</v>
      </c>
      <c r="D26" s="4" t="s">
        <v>61</v>
      </c>
      <c r="E26" s="4" t="s">
        <v>5</v>
      </c>
      <c r="F26" s="6">
        <v>9098.6</v>
      </c>
      <c r="G26" s="4" t="s">
        <v>28</v>
      </c>
      <c r="H26" s="9">
        <v>15000</v>
      </c>
      <c r="I26" s="8" cm="1">
        <f t="array" ref="I26">IF(F26 &gt;= H26,F26 * commission, 0)</f>
        <v>0</v>
      </c>
    </row>
    <row r="27" spans="1:9">
      <c r="A27" s="5">
        <v>44197</v>
      </c>
      <c r="B27" s="4" t="s">
        <v>53</v>
      </c>
      <c r="C27" s="4" t="s">
        <v>54</v>
      </c>
      <c r="D27" s="4" t="s">
        <v>55</v>
      </c>
      <c r="E27" s="4" t="s">
        <v>5</v>
      </c>
      <c r="F27" s="6">
        <v>10019.199999999999</v>
      </c>
      <c r="G27" s="4" t="s">
        <v>28</v>
      </c>
      <c r="H27" s="9">
        <v>15000</v>
      </c>
      <c r="I27" s="8" cm="1">
        <f t="array" ref="I27">IF(F27 &gt;= H27,F27 * commission, 0)</f>
        <v>0</v>
      </c>
    </row>
    <row r="28" spans="1:9">
      <c r="A28" s="5">
        <v>44197</v>
      </c>
      <c r="B28" s="4" t="s">
        <v>56</v>
      </c>
      <c r="C28" s="4" t="s">
        <v>57</v>
      </c>
      <c r="D28" s="4" t="s">
        <v>58</v>
      </c>
      <c r="E28" s="4" t="s">
        <v>5</v>
      </c>
      <c r="F28" s="6">
        <v>10176</v>
      </c>
      <c r="G28" s="4" t="s">
        <v>22</v>
      </c>
      <c r="H28" s="9">
        <v>15000</v>
      </c>
      <c r="I28" s="8" cm="1">
        <f t="array" ref="I28">IF(F28 &gt;= H28,F28 * commission, 0)</f>
        <v>0</v>
      </c>
    </row>
    <row r="29" spans="1:9">
      <c r="A29" s="5">
        <v>44197</v>
      </c>
      <c r="B29" s="4" t="s">
        <v>59</v>
      </c>
      <c r="C29" s="4" t="s">
        <v>60</v>
      </c>
      <c r="D29" s="4" t="s">
        <v>61</v>
      </c>
      <c r="E29" s="4" t="s">
        <v>5</v>
      </c>
      <c r="F29" s="6">
        <v>16385.600000000002</v>
      </c>
      <c r="G29" s="4" t="s">
        <v>27</v>
      </c>
      <c r="H29" s="9">
        <v>15000</v>
      </c>
      <c r="I29" s="8" cm="1">
        <f t="array" ref="I29">IF(F29 &gt;= H29,F29 * commission, 0)</f>
        <v>1638.5600000000004</v>
      </c>
    </row>
    <row r="30" spans="1:9">
      <c r="A30" s="5">
        <v>44197</v>
      </c>
      <c r="B30" s="4" t="s">
        <v>56</v>
      </c>
      <c r="C30" s="4" t="s">
        <v>57</v>
      </c>
      <c r="D30" s="4" t="s">
        <v>58</v>
      </c>
      <c r="E30" s="4" t="s">
        <v>5</v>
      </c>
      <c r="F30" s="6">
        <v>19108</v>
      </c>
      <c r="G30" s="4" t="s">
        <v>22</v>
      </c>
      <c r="H30" s="9">
        <v>15000</v>
      </c>
      <c r="I30" s="8" cm="1">
        <f t="array" ref="I30">IF(F30 &gt;= H30,F30 * commission, 0)</f>
        <v>1910.8000000000002</v>
      </c>
    </row>
    <row r="31" spans="1:9">
      <c r="A31" s="5">
        <v>44197</v>
      </c>
      <c r="B31" s="4" t="s">
        <v>53</v>
      </c>
      <c r="C31" s="4" t="s">
        <v>54</v>
      </c>
      <c r="D31" s="4" t="s">
        <v>55</v>
      </c>
      <c r="E31" s="4" t="s">
        <v>5</v>
      </c>
      <c r="F31" s="6">
        <v>19456</v>
      </c>
      <c r="G31" s="4" t="s">
        <v>27</v>
      </c>
      <c r="H31" s="9">
        <v>15000</v>
      </c>
      <c r="I31" s="8" cm="1">
        <f t="array" ref="I31">IF(F31 &gt;= H31,F31 * commission, 0)</f>
        <v>1945.6000000000001</v>
      </c>
    </row>
    <row r="32" spans="1:9">
      <c r="A32" s="5">
        <v>44197</v>
      </c>
      <c r="B32" s="4" t="s">
        <v>62</v>
      </c>
      <c r="C32" s="4" t="s">
        <v>63</v>
      </c>
      <c r="D32" s="4" t="s">
        <v>64</v>
      </c>
      <c r="E32" s="4" t="s">
        <v>5</v>
      </c>
      <c r="F32" s="6">
        <v>31127.199999999997</v>
      </c>
      <c r="G32" s="4" t="s">
        <v>28</v>
      </c>
      <c r="H32" s="9">
        <v>15000</v>
      </c>
      <c r="I32" s="8" cm="1">
        <f t="array" ref="I32">IF(F32 &gt;= H32,F32 * commission, 0)</f>
        <v>3112.72</v>
      </c>
    </row>
    <row r="33" spans="1:9">
      <c r="A33" s="5">
        <v>44197</v>
      </c>
      <c r="B33" s="4" t="s">
        <v>62</v>
      </c>
      <c r="C33" s="4" t="s">
        <v>63</v>
      </c>
      <c r="D33" s="4" t="s">
        <v>64</v>
      </c>
      <c r="E33" s="4" t="s">
        <v>5</v>
      </c>
      <c r="F33" s="6">
        <v>36372.1</v>
      </c>
      <c r="G33" s="4" t="s">
        <v>27</v>
      </c>
      <c r="H33" s="9">
        <v>15000</v>
      </c>
      <c r="I33" s="8" cm="1">
        <f t="array" ref="I33">IF(F33 &gt;= H33,F33 * commission, 0)</f>
        <v>3637.21</v>
      </c>
    </row>
    <row r="34" spans="1:9">
      <c r="A34" s="5">
        <v>44197</v>
      </c>
      <c r="B34" s="4" t="s">
        <v>56</v>
      </c>
      <c r="C34" s="4" t="s">
        <v>57</v>
      </c>
      <c r="D34" s="4" t="s">
        <v>58</v>
      </c>
      <c r="E34" s="4" t="s">
        <v>5</v>
      </c>
      <c r="F34" s="6">
        <v>39186</v>
      </c>
      <c r="G34" s="4" t="s">
        <v>22</v>
      </c>
      <c r="H34" s="9">
        <v>15000</v>
      </c>
      <c r="I34" s="8" cm="1">
        <f t="array" ref="I34">IF(F34 &gt;= H34,F34 * commission, 0)</f>
        <v>3918.6000000000004</v>
      </c>
    </row>
    <row r="35" spans="1:9">
      <c r="A35" s="5">
        <v>44197</v>
      </c>
      <c r="B35" s="4" t="s">
        <v>62</v>
      </c>
      <c r="C35" s="4" t="s">
        <v>63</v>
      </c>
      <c r="D35" s="4" t="s">
        <v>64</v>
      </c>
      <c r="E35" s="4" t="s">
        <v>5</v>
      </c>
      <c r="F35" s="6">
        <v>46715.999999999993</v>
      </c>
      <c r="G35" s="4" t="s">
        <v>27</v>
      </c>
      <c r="H35" s="9">
        <v>15000</v>
      </c>
      <c r="I35" s="8" cm="1">
        <f t="array" ref="I35">IF(F35 &gt;= H35,F35 * commission, 0)</f>
        <v>4671.5999999999995</v>
      </c>
    </row>
    <row r="36" spans="1:9">
      <c r="A36" s="5">
        <v>44228</v>
      </c>
      <c r="B36" s="4" t="s">
        <v>65</v>
      </c>
      <c r="C36" s="4" t="s">
        <v>66</v>
      </c>
      <c r="D36" s="4" t="s">
        <v>67</v>
      </c>
      <c r="E36" s="4" t="s">
        <v>4</v>
      </c>
      <c r="F36" s="6">
        <v>7717.5</v>
      </c>
      <c r="G36" s="4" t="s">
        <v>28</v>
      </c>
      <c r="H36" s="9">
        <v>15000</v>
      </c>
      <c r="I36" s="8" cm="1">
        <f t="array" ref="I36">IF(F36 &gt;= H36,F36 * commission, 0)</f>
        <v>0</v>
      </c>
    </row>
    <row r="37" spans="1:9">
      <c r="A37" s="5">
        <v>44228</v>
      </c>
      <c r="B37" s="4" t="s">
        <v>65</v>
      </c>
      <c r="C37" s="4" t="s">
        <v>66</v>
      </c>
      <c r="D37" s="4" t="s">
        <v>67</v>
      </c>
      <c r="E37" s="4" t="s">
        <v>4</v>
      </c>
      <c r="F37" s="6">
        <v>11617.6</v>
      </c>
      <c r="G37" s="4" t="s">
        <v>22</v>
      </c>
      <c r="H37" s="9">
        <v>15000</v>
      </c>
      <c r="I37" s="8" cm="1">
        <f t="array" ref="I37">IF(F37 &gt;= H37,F37 * commission, 0)</f>
        <v>0</v>
      </c>
    </row>
    <row r="38" spans="1:9">
      <c r="A38" s="5">
        <v>44228</v>
      </c>
      <c r="B38" s="4" t="s">
        <v>32</v>
      </c>
      <c r="C38" s="4" t="s">
        <v>33</v>
      </c>
      <c r="D38" s="4" t="s">
        <v>34</v>
      </c>
      <c r="E38" s="4" t="s">
        <v>4</v>
      </c>
      <c r="F38" s="6">
        <v>19431</v>
      </c>
      <c r="G38" s="4" t="s">
        <v>22</v>
      </c>
      <c r="H38" s="9">
        <v>15000</v>
      </c>
      <c r="I38" s="8" cm="1">
        <f t="array" ref="I38">IF(F38 &gt;= H38,F38 * commission, 0)</f>
        <v>1943.1000000000001</v>
      </c>
    </row>
    <row r="39" spans="1:9">
      <c r="A39" s="5">
        <v>44228</v>
      </c>
      <c r="B39" s="4" t="s">
        <v>29</v>
      </c>
      <c r="C39" s="4" t="s">
        <v>30</v>
      </c>
      <c r="D39" s="4" t="s">
        <v>31</v>
      </c>
      <c r="E39" s="4" t="s">
        <v>4</v>
      </c>
      <c r="F39" s="6">
        <v>21169.599999999999</v>
      </c>
      <c r="G39" s="4" t="s">
        <v>22</v>
      </c>
      <c r="H39" s="9">
        <v>15000</v>
      </c>
      <c r="I39" s="8" cm="1">
        <f t="array" ref="I39">IF(F39 &gt;= H39,F39 * commission, 0)</f>
        <v>2116.96</v>
      </c>
    </row>
    <row r="40" spans="1:9">
      <c r="A40" s="5">
        <v>44228</v>
      </c>
      <c r="B40" s="4" t="s">
        <v>19</v>
      </c>
      <c r="C40" s="4" t="s">
        <v>20</v>
      </c>
      <c r="D40" s="4" t="s">
        <v>21</v>
      </c>
      <c r="E40" s="4" t="s">
        <v>4</v>
      </c>
      <c r="F40" s="6">
        <v>29158.400000000001</v>
      </c>
      <c r="G40" s="4" t="s">
        <v>22</v>
      </c>
      <c r="H40" s="9">
        <v>15000</v>
      </c>
      <c r="I40" s="8" cm="1">
        <f t="array" ref="I40">IF(F40 &gt;= H40,F40 * commission, 0)</f>
        <v>2915.84</v>
      </c>
    </row>
    <row r="41" spans="1:9">
      <c r="A41" s="5">
        <v>44228</v>
      </c>
      <c r="B41" s="4" t="s">
        <v>32</v>
      </c>
      <c r="C41" s="4" t="s">
        <v>33</v>
      </c>
      <c r="D41" s="4" t="s">
        <v>34</v>
      </c>
      <c r="E41" s="4" t="s">
        <v>4</v>
      </c>
      <c r="F41" s="6">
        <v>30305</v>
      </c>
      <c r="G41" s="4" t="s">
        <v>27</v>
      </c>
      <c r="H41" s="9">
        <v>15000</v>
      </c>
      <c r="I41" s="8" cm="1">
        <f t="array" ref="I41">IF(F41 &gt;= H41,F41 * commission, 0)</f>
        <v>3030.5</v>
      </c>
    </row>
    <row r="42" spans="1:9">
      <c r="A42" s="5">
        <v>44228</v>
      </c>
      <c r="B42" s="4" t="s">
        <v>65</v>
      </c>
      <c r="C42" s="4" t="s">
        <v>66</v>
      </c>
      <c r="D42" s="4" t="s">
        <v>67</v>
      </c>
      <c r="E42" s="4" t="s">
        <v>4</v>
      </c>
      <c r="F42" s="6">
        <v>43184.399999999994</v>
      </c>
      <c r="G42" s="4" t="s">
        <v>28</v>
      </c>
      <c r="H42" s="9">
        <v>15000</v>
      </c>
      <c r="I42" s="8" cm="1">
        <f t="array" ref="I42">IF(F42 &gt;= H42,F42 * commission, 0)</f>
        <v>4318.4399999999996</v>
      </c>
    </row>
    <row r="43" spans="1:9">
      <c r="A43" s="5">
        <v>44228</v>
      </c>
      <c r="B43" s="4" t="s">
        <v>38</v>
      </c>
      <c r="C43" s="4" t="s">
        <v>39</v>
      </c>
      <c r="D43" s="4" t="s">
        <v>40</v>
      </c>
      <c r="E43" s="4" t="s">
        <v>2</v>
      </c>
      <c r="F43" s="6">
        <v>13479.400000000001</v>
      </c>
      <c r="G43" s="4" t="s">
        <v>28</v>
      </c>
      <c r="H43" s="9">
        <v>15000</v>
      </c>
      <c r="I43" s="8" cm="1">
        <f t="array" ref="I43">IF(F43 &gt;= H43,F43 * commission, 0)</f>
        <v>0</v>
      </c>
    </row>
    <row r="44" spans="1:9">
      <c r="A44" s="5">
        <v>44228</v>
      </c>
      <c r="B44" s="4" t="s">
        <v>35</v>
      </c>
      <c r="C44" s="4" t="s">
        <v>36</v>
      </c>
      <c r="D44" s="4" t="s">
        <v>37</v>
      </c>
      <c r="E44" s="4" t="s">
        <v>2</v>
      </c>
      <c r="F44" s="6">
        <v>16604.400000000001</v>
      </c>
      <c r="G44" s="4" t="s">
        <v>22</v>
      </c>
      <c r="H44" s="9">
        <v>15000</v>
      </c>
      <c r="I44" s="8" cm="1">
        <f t="array" ref="I44">IF(F44 &gt;= H44,F44 * commission, 0)</f>
        <v>1660.4400000000003</v>
      </c>
    </row>
    <row r="45" spans="1:9">
      <c r="A45" s="5">
        <v>44228</v>
      </c>
      <c r="B45" s="4" t="s">
        <v>68</v>
      </c>
      <c r="C45" s="4" t="s">
        <v>69</v>
      </c>
      <c r="D45" s="4" t="s">
        <v>70</v>
      </c>
      <c r="E45" s="4" t="s">
        <v>2</v>
      </c>
      <c r="F45" s="6">
        <v>22176</v>
      </c>
      <c r="G45" s="4" t="s">
        <v>22</v>
      </c>
      <c r="H45" s="9">
        <v>15000</v>
      </c>
      <c r="I45" s="8" cm="1">
        <f t="array" ref="I45">IF(F45 &gt;= H45,F45 * commission, 0)</f>
        <v>2217.6</v>
      </c>
    </row>
    <row r="46" spans="1:9">
      <c r="A46" s="5">
        <v>44228</v>
      </c>
      <c r="B46" s="4" t="s">
        <v>38</v>
      </c>
      <c r="C46" s="4" t="s">
        <v>39</v>
      </c>
      <c r="D46" s="4" t="s">
        <v>40</v>
      </c>
      <c r="E46" s="4" t="s">
        <v>2</v>
      </c>
      <c r="F46" s="6">
        <v>24131.000000000004</v>
      </c>
      <c r="G46" s="4" t="s">
        <v>22</v>
      </c>
      <c r="H46" s="9">
        <v>15000</v>
      </c>
      <c r="I46" s="8" cm="1">
        <f t="array" ref="I46">IF(F46 &gt;= H46,F46 * commission, 0)</f>
        <v>2413.1000000000004</v>
      </c>
    </row>
    <row r="47" spans="1:9">
      <c r="A47" s="5">
        <v>44228</v>
      </c>
      <c r="B47" s="4" t="s">
        <v>35</v>
      </c>
      <c r="C47" s="4" t="s">
        <v>36</v>
      </c>
      <c r="D47" s="4" t="s">
        <v>37</v>
      </c>
      <c r="E47" s="4" t="s">
        <v>2</v>
      </c>
      <c r="F47" s="6">
        <v>34353.5</v>
      </c>
      <c r="G47" s="4" t="s">
        <v>22</v>
      </c>
      <c r="H47" s="9">
        <v>15000</v>
      </c>
      <c r="I47" s="8" cm="1">
        <f t="array" ref="I47">IF(F47 &gt;= H47,F47 * commission, 0)</f>
        <v>3435.3500000000004</v>
      </c>
    </row>
    <row r="48" spans="1:9">
      <c r="A48" s="5">
        <v>44228</v>
      </c>
      <c r="B48" s="4" t="s">
        <v>47</v>
      </c>
      <c r="C48" s="4" t="s">
        <v>48</v>
      </c>
      <c r="D48" s="4" t="s">
        <v>49</v>
      </c>
      <c r="E48" s="4" t="s">
        <v>3</v>
      </c>
      <c r="F48" s="6">
        <v>3596</v>
      </c>
      <c r="G48" s="4" t="s">
        <v>22</v>
      </c>
      <c r="H48" s="9">
        <v>15000</v>
      </c>
      <c r="I48" s="8" cm="1">
        <f t="array" ref="I48">IF(F48 &gt;= H48,F48 * commission, 0)</f>
        <v>0</v>
      </c>
    </row>
    <row r="49" spans="1:9">
      <c r="A49" s="5">
        <v>44228</v>
      </c>
      <c r="B49" s="4" t="s">
        <v>71</v>
      </c>
      <c r="C49" s="4" t="s">
        <v>72</v>
      </c>
      <c r="D49" s="4" t="s">
        <v>73</v>
      </c>
      <c r="E49" s="4" t="s">
        <v>3</v>
      </c>
      <c r="F49" s="6">
        <v>6300</v>
      </c>
      <c r="G49" s="4" t="s">
        <v>28</v>
      </c>
      <c r="H49" s="9">
        <v>15000</v>
      </c>
      <c r="I49" s="8" cm="1">
        <f t="array" ref="I49">IF(F49 &gt;= H49,F49 * commission, 0)</f>
        <v>0</v>
      </c>
    </row>
    <row r="50" spans="1:9">
      <c r="A50" s="5">
        <v>44228</v>
      </c>
      <c r="B50" s="4" t="s">
        <v>47</v>
      </c>
      <c r="C50" s="4" t="s">
        <v>48</v>
      </c>
      <c r="D50" s="4" t="s">
        <v>49</v>
      </c>
      <c r="E50" s="4" t="s">
        <v>3</v>
      </c>
      <c r="F50" s="6">
        <v>6804</v>
      </c>
      <c r="G50" s="4" t="s">
        <v>27</v>
      </c>
      <c r="H50" s="9">
        <v>15000</v>
      </c>
      <c r="I50" s="8" cm="1">
        <f t="array" ref="I50">IF(F50 &gt;= H50,F50 * commission, 0)</f>
        <v>0</v>
      </c>
    </row>
    <row r="51" spans="1:9">
      <c r="A51" s="5">
        <v>44228</v>
      </c>
      <c r="B51" s="4" t="s">
        <v>44</v>
      </c>
      <c r="C51" s="4" t="s">
        <v>45</v>
      </c>
      <c r="D51" s="4" t="s">
        <v>46</v>
      </c>
      <c r="E51" s="4" t="s">
        <v>3</v>
      </c>
      <c r="F51" s="6">
        <v>8524.4000000000015</v>
      </c>
      <c r="G51" s="4" t="s">
        <v>28</v>
      </c>
      <c r="H51" s="9">
        <v>15000</v>
      </c>
      <c r="I51" s="8" cm="1">
        <f t="array" ref="I51">IF(F51 &gt;= H51,F51 * commission, 0)</f>
        <v>0</v>
      </c>
    </row>
    <row r="52" spans="1:9">
      <c r="A52" s="5">
        <v>44228</v>
      </c>
      <c r="B52" s="4" t="s">
        <v>47</v>
      </c>
      <c r="C52" s="4" t="s">
        <v>48</v>
      </c>
      <c r="D52" s="4" t="s">
        <v>49</v>
      </c>
      <c r="E52" s="4" t="s">
        <v>3</v>
      </c>
      <c r="F52" s="6">
        <v>8772</v>
      </c>
      <c r="G52" s="4" t="s">
        <v>28</v>
      </c>
      <c r="H52" s="9">
        <v>15000</v>
      </c>
      <c r="I52" s="8" cm="1">
        <f t="array" ref="I52">IF(F52 &gt;= H52,F52 * commission, 0)</f>
        <v>0</v>
      </c>
    </row>
    <row r="53" spans="1:9">
      <c r="A53" s="5">
        <v>44228</v>
      </c>
      <c r="B53" s="4" t="s">
        <v>47</v>
      </c>
      <c r="C53" s="4" t="s">
        <v>48</v>
      </c>
      <c r="D53" s="4" t="s">
        <v>49</v>
      </c>
      <c r="E53" s="4" t="s">
        <v>3</v>
      </c>
      <c r="F53" s="6">
        <v>17328.300000000003</v>
      </c>
      <c r="G53" s="4" t="s">
        <v>28</v>
      </c>
      <c r="H53" s="9">
        <v>15000</v>
      </c>
      <c r="I53" s="8" cm="1">
        <f t="array" ref="I53">IF(F53 &gt;= H53,F53 * commission, 0)</f>
        <v>1732.8300000000004</v>
      </c>
    </row>
    <row r="54" spans="1:9">
      <c r="A54" s="5">
        <v>44228</v>
      </c>
      <c r="B54" s="4" t="s">
        <v>71</v>
      </c>
      <c r="C54" s="4" t="s">
        <v>72</v>
      </c>
      <c r="D54" s="4" t="s">
        <v>73</v>
      </c>
      <c r="E54" s="4" t="s">
        <v>3</v>
      </c>
      <c r="F54" s="6">
        <v>21438.899999999998</v>
      </c>
      <c r="G54" s="4" t="s">
        <v>27</v>
      </c>
      <c r="H54" s="9">
        <v>15000</v>
      </c>
      <c r="I54" s="8" cm="1">
        <f t="array" ref="I54">IF(F54 &gt;= H54,F54 * commission, 0)</f>
        <v>2143.89</v>
      </c>
    </row>
    <row r="55" spans="1:9">
      <c r="A55" s="5">
        <v>44228</v>
      </c>
      <c r="B55" s="4" t="s">
        <v>44</v>
      </c>
      <c r="C55" s="4" t="s">
        <v>45</v>
      </c>
      <c r="D55" s="4" t="s">
        <v>46</v>
      </c>
      <c r="E55" s="4" t="s">
        <v>3</v>
      </c>
      <c r="F55" s="6">
        <v>26556.799999999999</v>
      </c>
      <c r="G55" s="4" t="s">
        <v>22</v>
      </c>
      <c r="H55" s="9">
        <v>15000</v>
      </c>
      <c r="I55" s="8" cm="1">
        <f t="array" ref="I55">IF(F55 &gt;= H55,F55 * commission, 0)</f>
        <v>2655.6800000000003</v>
      </c>
    </row>
    <row r="56" spans="1:9">
      <c r="A56" s="5">
        <v>44228</v>
      </c>
      <c r="B56" s="4" t="s">
        <v>44</v>
      </c>
      <c r="C56" s="4" t="s">
        <v>45</v>
      </c>
      <c r="D56" s="4" t="s">
        <v>46</v>
      </c>
      <c r="E56" s="4" t="s">
        <v>3</v>
      </c>
      <c r="F56" s="6">
        <v>33132.600000000006</v>
      </c>
      <c r="G56" s="4" t="s">
        <v>28</v>
      </c>
      <c r="H56" s="9">
        <v>15000</v>
      </c>
      <c r="I56" s="8" cm="1">
        <f t="array" ref="I56">IF(F56 &gt;= H56,F56 * commission, 0)</f>
        <v>3313.2600000000007</v>
      </c>
    </row>
    <row r="57" spans="1:9">
      <c r="A57" s="5">
        <v>44228</v>
      </c>
      <c r="B57" s="4" t="s">
        <v>53</v>
      </c>
      <c r="C57" s="4" t="s">
        <v>54</v>
      </c>
      <c r="D57" s="4" t="s">
        <v>55</v>
      </c>
      <c r="E57" s="4" t="s">
        <v>5</v>
      </c>
      <c r="F57" s="6">
        <v>4531</v>
      </c>
      <c r="G57" s="4" t="s">
        <v>28</v>
      </c>
      <c r="H57" s="9">
        <v>15000</v>
      </c>
      <c r="I57" s="8" cm="1">
        <f t="array" ref="I57">IF(F57 &gt;= H57,F57 * commission, 0)</f>
        <v>0</v>
      </c>
    </row>
    <row r="58" spans="1:9">
      <c r="A58" s="5">
        <v>44228</v>
      </c>
      <c r="B58" s="4" t="s">
        <v>74</v>
      </c>
      <c r="C58" s="4" t="s">
        <v>75</v>
      </c>
      <c r="D58" s="4" t="s">
        <v>76</v>
      </c>
      <c r="E58" s="4" t="s">
        <v>5</v>
      </c>
      <c r="F58" s="6">
        <v>6751.7999999999993</v>
      </c>
      <c r="G58" s="4" t="s">
        <v>22</v>
      </c>
      <c r="H58" s="9">
        <v>15000</v>
      </c>
      <c r="I58" s="8" cm="1">
        <f t="array" ref="I58">IF(F58 &gt;= H58,F58 * commission, 0)</f>
        <v>0</v>
      </c>
    </row>
    <row r="59" spans="1:9">
      <c r="A59" s="5">
        <v>44228</v>
      </c>
      <c r="B59" s="4" t="s">
        <v>53</v>
      </c>
      <c r="C59" s="4" t="s">
        <v>54</v>
      </c>
      <c r="D59" s="4" t="s">
        <v>55</v>
      </c>
      <c r="E59" s="4" t="s">
        <v>5</v>
      </c>
      <c r="F59" s="6">
        <v>7343.2000000000007</v>
      </c>
      <c r="G59" s="4" t="s">
        <v>22</v>
      </c>
      <c r="H59" s="9">
        <v>15000</v>
      </c>
      <c r="I59" s="8" cm="1">
        <f t="array" ref="I59">IF(F59 &gt;= H59,F59 * commission, 0)</f>
        <v>0</v>
      </c>
    </row>
    <row r="60" spans="1:9">
      <c r="A60" s="5">
        <v>44228</v>
      </c>
      <c r="B60" s="4" t="s">
        <v>53</v>
      </c>
      <c r="C60" s="4" t="s">
        <v>54</v>
      </c>
      <c r="D60" s="4" t="s">
        <v>55</v>
      </c>
      <c r="E60" s="4" t="s">
        <v>5</v>
      </c>
      <c r="F60" s="6">
        <v>7356.5999999999995</v>
      </c>
      <c r="G60" s="4" t="s">
        <v>27</v>
      </c>
      <c r="H60" s="9">
        <v>15000</v>
      </c>
      <c r="I60" s="8" cm="1">
        <f t="array" ref="I60">IF(F60 &gt;= H60,F60 * commission, 0)</f>
        <v>0</v>
      </c>
    </row>
    <row r="61" spans="1:9">
      <c r="A61" s="5">
        <v>44228</v>
      </c>
      <c r="B61" s="4" t="s">
        <v>74</v>
      </c>
      <c r="C61" s="4" t="s">
        <v>75</v>
      </c>
      <c r="D61" s="4" t="s">
        <v>76</v>
      </c>
      <c r="E61" s="4" t="s">
        <v>5</v>
      </c>
      <c r="F61" s="6">
        <v>17748</v>
      </c>
      <c r="G61" s="4" t="s">
        <v>27</v>
      </c>
      <c r="H61" s="9">
        <v>15000</v>
      </c>
      <c r="I61" s="8" cm="1">
        <f t="array" ref="I61">IF(F61 &gt;= H61,F61 * commission, 0)</f>
        <v>1774.8000000000002</v>
      </c>
    </row>
    <row r="62" spans="1:9">
      <c r="A62" s="5">
        <v>44228</v>
      </c>
      <c r="B62" s="4" t="s">
        <v>53</v>
      </c>
      <c r="C62" s="4" t="s">
        <v>54</v>
      </c>
      <c r="D62" s="4" t="s">
        <v>55</v>
      </c>
      <c r="E62" s="4" t="s">
        <v>5</v>
      </c>
      <c r="F62" s="6">
        <v>28395.5</v>
      </c>
      <c r="G62" s="4" t="s">
        <v>28</v>
      </c>
      <c r="H62" s="9">
        <v>15000</v>
      </c>
      <c r="I62" s="8" cm="1">
        <f t="array" ref="I62">IF(F62 &gt;= H62,F62 * commission, 0)</f>
        <v>2839.55</v>
      </c>
    </row>
    <row r="63" spans="1:9">
      <c r="A63" s="5">
        <v>44228</v>
      </c>
      <c r="B63" s="4" t="s">
        <v>56</v>
      </c>
      <c r="C63" s="4" t="s">
        <v>57</v>
      </c>
      <c r="D63" s="4" t="s">
        <v>58</v>
      </c>
      <c r="E63" s="4" t="s">
        <v>5</v>
      </c>
      <c r="F63" s="6">
        <v>41429.5</v>
      </c>
      <c r="G63" s="4" t="s">
        <v>22</v>
      </c>
      <c r="H63" s="9">
        <v>15000</v>
      </c>
      <c r="I63" s="8" cm="1">
        <f t="array" ref="I63">IF(F63 &gt;= H63,F63 * commission, 0)</f>
        <v>4142.95</v>
      </c>
    </row>
    <row r="64" spans="1:9">
      <c r="A64" s="5">
        <v>44256</v>
      </c>
      <c r="B64" s="4" t="s">
        <v>32</v>
      </c>
      <c r="C64" s="4" t="s">
        <v>33</v>
      </c>
      <c r="D64" s="4" t="s">
        <v>34</v>
      </c>
      <c r="E64" s="4" t="s">
        <v>4</v>
      </c>
      <c r="F64" s="6">
        <v>2311.5</v>
      </c>
      <c r="G64" s="4" t="s">
        <v>22</v>
      </c>
      <c r="H64" s="9">
        <v>15000</v>
      </c>
      <c r="I64" s="8" cm="1">
        <f t="array" ref="I64">IF(F64 &gt;= H64,F64 * commission, 0)</f>
        <v>0</v>
      </c>
    </row>
    <row r="65" spans="1:9">
      <c r="A65" s="5">
        <v>44256</v>
      </c>
      <c r="B65" s="4" t="s">
        <v>65</v>
      </c>
      <c r="C65" s="4" t="s">
        <v>66</v>
      </c>
      <c r="D65" s="4" t="s">
        <v>67</v>
      </c>
      <c r="E65" s="4" t="s">
        <v>4</v>
      </c>
      <c r="F65" s="6">
        <v>3013.5</v>
      </c>
      <c r="G65" s="4" t="s">
        <v>22</v>
      </c>
      <c r="H65" s="9">
        <v>15000</v>
      </c>
      <c r="I65" s="8" cm="1">
        <f t="array" ref="I65">IF(F65 &gt;= H65,F65 * commission, 0)</f>
        <v>0</v>
      </c>
    </row>
    <row r="66" spans="1:9">
      <c r="A66" s="5">
        <v>44256</v>
      </c>
      <c r="B66" s="4" t="s">
        <v>65</v>
      </c>
      <c r="C66" s="4" t="s">
        <v>66</v>
      </c>
      <c r="D66" s="4" t="s">
        <v>67</v>
      </c>
      <c r="E66" s="4" t="s">
        <v>4</v>
      </c>
      <c r="F66" s="6">
        <v>5287.5</v>
      </c>
      <c r="G66" s="4" t="s">
        <v>22</v>
      </c>
      <c r="H66" s="9">
        <v>15000</v>
      </c>
      <c r="I66" s="8" cm="1">
        <f t="array" ref="I66">IF(F66 &gt;= H66,F66 * commission, 0)</f>
        <v>0</v>
      </c>
    </row>
    <row r="67" spans="1:9">
      <c r="A67" s="5">
        <v>44256</v>
      </c>
      <c r="B67" s="4" t="s">
        <v>19</v>
      </c>
      <c r="C67" s="4" t="s">
        <v>20</v>
      </c>
      <c r="D67" s="4" t="s">
        <v>21</v>
      </c>
      <c r="E67" s="4" t="s">
        <v>4</v>
      </c>
      <c r="F67" s="6">
        <v>13797</v>
      </c>
      <c r="G67" s="4" t="s">
        <v>27</v>
      </c>
      <c r="H67" s="9">
        <v>15000</v>
      </c>
      <c r="I67" s="8" cm="1">
        <f t="array" ref="I67">IF(F67 &gt;= H67,F67 * commission, 0)</f>
        <v>0</v>
      </c>
    </row>
    <row r="68" spans="1:9">
      <c r="A68" s="5">
        <v>44256</v>
      </c>
      <c r="B68" s="4" t="s">
        <v>24</v>
      </c>
      <c r="C68" s="4" t="s">
        <v>25</v>
      </c>
      <c r="D68" s="4" t="s">
        <v>26</v>
      </c>
      <c r="E68" s="4" t="s">
        <v>4</v>
      </c>
      <c r="F68" s="6">
        <v>14063</v>
      </c>
      <c r="G68" s="4" t="s">
        <v>22</v>
      </c>
      <c r="H68" s="9">
        <v>15000</v>
      </c>
      <c r="I68" s="8" cm="1">
        <f t="array" ref="I68">IF(F68 &gt;= H68,F68 * commission, 0)</f>
        <v>0</v>
      </c>
    </row>
    <row r="69" spans="1:9">
      <c r="A69" s="5">
        <v>44256</v>
      </c>
      <c r="B69" s="4" t="s">
        <v>19</v>
      </c>
      <c r="C69" s="4" t="s">
        <v>20</v>
      </c>
      <c r="D69" s="4" t="s">
        <v>21</v>
      </c>
      <c r="E69" s="4" t="s">
        <v>4</v>
      </c>
      <c r="F69" s="6">
        <v>14608.300000000001</v>
      </c>
      <c r="G69" s="4" t="s">
        <v>27</v>
      </c>
      <c r="H69" s="9">
        <v>15000</v>
      </c>
      <c r="I69" s="8" cm="1">
        <f t="array" ref="I69">IF(F69 &gt;= H69,F69 * commission, 0)</f>
        <v>0</v>
      </c>
    </row>
    <row r="70" spans="1:9">
      <c r="A70" s="5">
        <v>44256</v>
      </c>
      <c r="B70" s="4" t="s">
        <v>65</v>
      </c>
      <c r="C70" s="4" t="s">
        <v>66</v>
      </c>
      <c r="D70" s="4" t="s">
        <v>67</v>
      </c>
      <c r="E70" s="4" t="s">
        <v>4</v>
      </c>
      <c r="F70" s="6">
        <v>16063.199999999999</v>
      </c>
      <c r="G70" s="4" t="s">
        <v>22</v>
      </c>
      <c r="H70" s="9">
        <v>15000</v>
      </c>
      <c r="I70" s="8" cm="1">
        <f t="array" ref="I70">IF(F70 &gt;= H70,F70 * commission, 0)</f>
        <v>1606.32</v>
      </c>
    </row>
    <row r="71" spans="1:9">
      <c r="A71" s="5">
        <v>44256</v>
      </c>
      <c r="B71" s="4" t="s">
        <v>32</v>
      </c>
      <c r="C71" s="4" t="s">
        <v>33</v>
      </c>
      <c r="D71" s="4" t="s">
        <v>34</v>
      </c>
      <c r="E71" s="4" t="s">
        <v>4</v>
      </c>
      <c r="F71" s="6">
        <v>16836</v>
      </c>
      <c r="G71" s="4" t="s">
        <v>27</v>
      </c>
      <c r="H71" s="9">
        <v>15000</v>
      </c>
      <c r="I71" s="8" cm="1">
        <f t="array" ref="I71">IF(F71 &gt;= H71,F71 * commission, 0)</f>
        <v>1683.6000000000001</v>
      </c>
    </row>
    <row r="72" spans="1:9">
      <c r="A72" s="5">
        <v>44256</v>
      </c>
      <c r="B72" s="4" t="s">
        <v>65</v>
      </c>
      <c r="C72" s="4" t="s">
        <v>66</v>
      </c>
      <c r="D72" s="4" t="s">
        <v>67</v>
      </c>
      <c r="E72" s="4" t="s">
        <v>4</v>
      </c>
      <c r="F72" s="6">
        <v>19594</v>
      </c>
      <c r="G72" s="4" t="s">
        <v>28</v>
      </c>
      <c r="H72" s="9">
        <v>15000</v>
      </c>
      <c r="I72" s="8" cm="1">
        <f t="array" ref="I72">IF(F72 &gt;= H72,F72 * commission, 0)</f>
        <v>1959.4</v>
      </c>
    </row>
    <row r="73" spans="1:9">
      <c r="A73" s="5">
        <v>44256</v>
      </c>
      <c r="B73" s="4" t="s">
        <v>32</v>
      </c>
      <c r="C73" s="4" t="s">
        <v>33</v>
      </c>
      <c r="D73" s="4" t="s">
        <v>34</v>
      </c>
      <c r="E73" s="4" t="s">
        <v>4</v>
      </c>
      <c r="F73" s="6">
        <v>21654.400000000001</v>
      </c>
      <c r="G73" s="4" t="s">
        <v>22</v>
      </c>
      <c r="H73" s="9">
        <v>15000</v>
      </c>
      <c r="I73" s="8" cm="1">
        <f t="array" ref="I73">IF(F73 &gt;= H73,F73 * commission, 0)</f>
        <v>2165.44</v>
      </c>
    </row>
    <row r="74" spans="1:9">
      <c r="A74" s="5">
        <v>44256</v>
      </c>
      <c r="B74" s="4" t="s">
        <v>24</v>
      </c>
      <c r="C74" s="4" t="s">
        <v>25</v>
      </c>
      <c r="D74" s="4" t="s">
        <v>26</v>
      </c>
      <c r="E74" s="4" t="s">
        <v>4</v>
      </c>
      <c r="F74" s="6">
        <v>27930</v>
      </c>
      <c r="G74" s="4" t="s">
        <v>27</v>
      </c>
      <c r="H74" s="9">
        <v>15000</v>
      </c>
      <c r="I74" s="8" cm="1">
        <f t="array" ref="I74">IF(F74 &gt;= H74,F74 * commission, 0)</f>
        <v>2793</v>
      </c>
    </row>
    <row r="75" spans="1:9">
      <c r="A75" s="5">
        <v>44256</v>
      </c>
      <c r="B75" s="4" t="s">
        <v>29</v>
      </c>
      <c r="C75" s="4" t="s">
        <v>30</v>
      </c>
      <c r="D75" s="4" t="s">
        <v>31</v>
      </c>
      <c r="E75" s="4" t="s">
        <v>4</v>
      </c>
      <c r="F75" s="6">
        <v>39065.899999999994</v>
      </c>
      <c r="G75" s="4" t="s">
        <v>22</v>
      </c>
      <c r="H75" s="9">
        <v>15000</v>
      </c>
      <c r="I75" s="8" cm="1">
        <f t="array" ref="I75">IF(F75 &gt;= H75,F75 * commission, 0)</f>
        <v>3906.5899999999997</v>
      </c>
    </row>
    <row r="76" spans="1:9">
      <c r="A76" s="5">
        <v>44256</v>
      </c>
      <c r="B76" s="4" t="s">
        <v>65</v>
      </c>
      <c r="C76" s="4" t="s">
        <v>66</v>
      </c>
      <c r="D76" s="4" t="s">
        <v>67</v>
      </c>
      <c r="E76" s="4" t="s">
        <v>4</v>
      </c>
      <c r="F76" s="6">
        <v>44422</v>
      </c>
      <c r="G76" s="4" t="s">
        <v>28</v>
      </c>
      <c r="H76" s="9">
        <v>15000</v>
      </c>
      <c r="I76" s="8" cm="1">
        <f t="array" ref="I76">IF(F76 &gt;= H76,F76 * commission, 0)</f>
        <v>4442.2</v>
      </c>
    </row>
    <row r="77" spans="1:9">
      <c r="A77" s="5">
        <v>44256</v>
      </c>
      <c r="B77" s="4" t="s">
        <v>77</v>
      </c>
      <c r="C77" s="4" t="s">
        <v>78</v>
      </c>
      <c r="D77" s="4" t="s">
        <v>79</v>
      </c>
      <c r="E77" s="4" t="s">
        <v>2</v>
      </c>
      <c r="F77" s="6">
        <v>7416.9</v>
      </c>
      <c r="G77" s="4" t="s">
        <v>28</v>
      </c>
      <c r="H77" s="9">
        <v>15000</v>
      </c>
      <c r="I77" s="8" cm="1">
        <f t="array" ref="I77">IF(F77 &gt;= H77,F77 * commission, 0)</f>
        <v>0</v>
      </c>
    </row>
    <row r="78" spans="1:9">
      <c r="A78" s="5">
        <v>44256</v>
      </c>
      <c r="B78" s="4" t="s">
        <v>80</v>
      </c>
      <c r="C78" s="4" t="s">
        <v>81</v>
      </c>
      <c r="D78" s="4" t="s">
        <v>82</v>
      </c>
      <c r="E78" s="4" t="s">
        <v>2</v>
      </c>
      <c r="F78" s="6">
        <v>8284.5</v>
      </c>
      <c r="G78" s="4" t="s">
        <v>22</v>
      </c>
      <c r="H78" s="9">
        <v>15000</v>
      </c>
      <c r="I78" s="8" cm="1">
        <f t="array" ref="I78">IF(F78 &gt;= H78,F78 * commission, 0)</f>
        <v>0</v>
      </c>
    </row>
    <row r="79" spans="1:9">
      <c r="A79" s="5">
        <v>44256</v>
      </c>
      <c r="B79" s="4" t="s">
        <v>35</v>
      </c>
      <c r="C79" s="4" t="s">
        <v>36</v>
      </c>
      <c r="D79" s="4" t="s">
        <v>37</v>
      </c>
      <c r="E79" s="4" t="s">
        <v>2</v>
      </c>
      <c r="F79" s="6">
        <v>10758.7</v>
      </c>
      <c r="G79" s="4" t="s">
        <v>22</v>
      </c>
      <c r="H79" s="9">
        <v>15000</v>
      </c>
      <c r="I79" s="8" cm="1">
        <f t="array" ref="I79">IF(F79 &gt;= H79,F79 * commission, 0)</f>
        <v>0</v>
      </c>
    </row>
    <row r="80" spans="1:9">
      <c r="A80" s="5">
        <v>44256</v>
      </c>
      <c r="B80" s="4" t="s">
        <v>38</v>
      </c>
      <c r="C80" s="4" t="s">
        <v>39</v>
      </c>
      <c r="D80" s="4" t="s">
        <v>40</v>
      </c>
      <c r="E80" s="4" t="s">
        <v>2</v>
      </c>
      <c r="F80" s="6">
        <v>12124.2</v>
      </c>
      <c r="G80" s="4" t="s">
        <v>28</v>
      </c>
      <c r="H80" s="9">
        <v>15000</v>
      </c>
      <c r="I80" s="8" cm="1">
        <f t="array" ref="I80">IF(F80 &gt;= H80,F80 * commission, 0)</f>
        <v>0</v>
      </c>
    </row>
    <row r="81" spans="1:9">
      <c r="A81" s="5">
        <v>44256</v>
      </c>
      <c r="B81" s="4" t="s">
        <v>77</v>
      </c>
      <c r="C81" s="4" t="s">
        <v>78</v>
      </c>
      <c r="D81" s="4" t="s">
        <v>79</v>
      </c>
      <c r="E81" s="4" t="s">
        <v>2</v>
      </c>
      <c r="F81" s="6">
        <v>14391.999999999998</v>
      </c>
      <c r="G81" s="4" t="s">
        <v>27</v>
      </c>
      <c r="H81" s="9">
        <v>15000</v>
      </c>
      <c r="I81" s="8" cm="1">
        <f t="array" ref="I81">IF(F81 &gt;= H81,F81 * commission, 0)</f>
        <v>0</v>
      </c>
    </row>
    <row r="82" spans="1:9">
      <c r="A82" s="5">
        <v>44256</v>
      </c>
      <c r="B82" s="4" t="s">
        <v>80</v>
      </c>
      <c r="C82" s="4" t="s">
        <v>81</v>
      </c>
      <c r="D82" s="4" t="s">
        <v>82</v>
      </c>
      <c r="E82" s="4" t="s">
        <v>2</v>
      </c>
      <c r="F82" s="6">
        <v>15246</v>
      </c>
      <c r="G82" s="4" t="s">
        <v>27</v>
      </c>
      <c r="H82" s="9">
        <v>15000</v>
      </c>
      <c r="I82" s="8" cm="1">
        <f t="array" ref="I82">IF(F82 &gt;= H82,F82 * commission, 0)</f>
        <v>1524.6000000000001</v>
      </c>
    </row>
    <row r="83" spans="1:9">
      <c r="A83" s="5">
        <v>44256</v>
      </c>
      <c r="B83" s="4" t="s">
        <v>77</v>
      </c>
      <c r="C83" s="4" t="s">
        <v>78</v>
      </c>
      <c r="D83" s="4" t="s">
        <v>79</v>
      </c>
      <c r="E83" s="4" t="s">
        <v>2</v>
      </c>
      <c r="F83" s="6">
        <v>17335.2</v>
      </c>
      <c r="G83" s="4" t="s">
        <v>28</v>
      </c>
      <c r="H83" s="9">
        <v>15000</v>
      </c>
      <c r="I83" s="8" cm="1">
        <f t="array" ref="I83">IF(F83 &gt;= H83,F83 * commission, 0)</f>
        <v>1733.5200000000002</v>
      </c>
    </row>
    <row r="84" spans="1:9">
      <c r="A84" s="5">
        <v>44256</v>
      </c>
      <c r="B84" s="4" t="s">
        <v>80</v>
      </c>
      <c r="C84" s="4" t="s">
        <v>81</v>
      </c>
      <c r="D84" s="4" t="s">
        <v>82</v>
      </c>
      <c r="E84" s="4" t="s">
        <v>2</v>
      </c>
      <c r="F84" s="6">
        <v>40831</v>
      </c>
      <c r="G84" s="4" t="s">
        <v>27</v>
      </c>
      <c r="H84" s="9">
        <v>15000</v>
      </c>
      <c r="I84" s="8" cm="1">
        <f t="array" ref="I84">IF(F84 &gt;= H84,F84 * commission, 0)</f>
        <v>4083.1000000000004</v>
      </c>
    </row>
    <row r="85" spans="1:9">
      <c r="A85" s="5">
        <v>44256</v>
      </c>
      <c r="B85" s="4" t="s">
        <v>47</v>
      </c>
      <c r="C85" s="4" t="s">
        <v>48</v>
      </c>
      <c r="D85" s="4" t="s">
        <v>49</v>
      </c>
      <c r="E85" s="4" t="s">
        <v>3</v>
      </c>
      <c r="F85" s="6">
        <v>6544.8</v>
      </c>
      <c r="G85" s="4" t="s">
        <v>27</v>
      </c>
      <c r="H85" s="9">
        <v>15000</v>
      </c>
      <c r="I85" s="8" cm="1">
        <f t="array" ref="I85">IF(F85 &gt;= H85,F85 * commission, 0)</f>
        <v>0</v>
      </c>
    </row>
    <row r="86" spans="1:9">
      <c r="A86" s="5">
        <v>44256</v>
      </c>
      <c r="B86" s="4" t="s">
        <v>44</v>
      </c>
      <c r="C86" s="4" t="s">
        <v>45</v>
      </c>
      <c r="D86" s="4" t="s">
        <v>46</v>
      </c>
      <c r="E86" s="4" t="s">
        <v>3</v>
      </c>
      <c r="F86" s="6">
        <v>11166.300000000001</v>
      </c>
      <c r="G86" s="4" t="s">
        <v>22</v>
      </c>
      <c r="H86" s="9">
        <v>15000</v>
      </c>
      <c r="I86" s="8" cm="1">
        <f t="array" ref="I86">IF(F86 &gt;= H86,F86 * commission, 0)</f>
        <v>0</v>
      </c>
    </row>
    <row r="87" spans="1:9">
      <c r="A87" s="5">
        <v>44256</v>
      </c>
      <c r="B87" s="4" t="s">
        <v>47</v>
      </c>
      <c r="C87" s="4" t="s">
        <v>48</v>
      </c>
      <c r="D87" s="4" t="s">
        <v>49</v>
      </c>
      <c r="E87" s="4" t="s">
        <v>3</v>
      </c>
      <c r="F87" s="6">
        <v>11403</v>
      </c>
      <c r="G87" s="4" t="s">
        <v>22</v>
      </c>
      <c r="H87" s="9">
        <v>15000</v>
      </c>
      <c r="I87" s="8" cm="1">
        <f t="array" ref="I87">IF(F87 &gt;= H87,F87 * commission, 0)</f>
        <v>0</v>
      </c>
    </row>
    <row r="88" spans="1:9">
      <c r="A88" s="5">
        <v>44256</v>
      </c>
      <c r="B88" s="4" t="s">
        <v>47</v>
      </c>
      <c r="C88" s="4" t="s">
        <v>48</v>
      </c>
      <c r="D88" s="4" t="s">
        <v>49</v>
      </c>
      <c r="E88" s="4" t="s">
        <v>3</v>
      </c>
      <c r="F88" s="6">
        <v>11554.400000000001</v>
      </c>
      <c r="G88" s="4" t="s">
        <v>22</v>
      </c>
      <c r="H88" s="9">
        <v>15000</v>
      </c>
      <c r="I88" s="8" cm="1">
        <f t="array" ref="I88">IF(F88 &gt;= H88,F88 * commission, 0)</f>
        <v>0</v>
      </c>
    </row>
    <row r="89" spans="1:9">
      <c r="A89" s="5">
        <v>44256</v>
      </c>
      <c r="B89" s="4" t="s">
        <v>41</v>
      </c>
      <c r="C89" s="4" t="s">
        <v>42</v>
      </c>
      <c r="D89" s="4" t="s">
        <v>43</v>
      </c>
      <c r="E89" s="4" t="s">
        <v>3</v>
      </c>
      <c r="F89" s="6">
        <v>12143.999999999998</v>
      </c>
      <c r="G89" s="4" t="s">
        <v>22</v>
      </c>
      <c r="H89" s="9">
        <v>15000</v>
      </c>
      <c r="I89" s="8" cm="1">
        <f t="array" ref="I89">IF(F89 &gt;= H89,F89 * commission, 0)</f>
        <v>0</v>
      </c>
    </row>
    <row r="90" spans="1:9">
      <c r="A90" s="5">
        <v>44256</v>
      </c>
      <c r="B90" s="4" t="s">
        <v>41</v>
      </c>
      <c r="C90" s="4" t="s">
        <v>42</v>
      </c>
      <c r="D90" s="4" t="s">
        <v>43</v>
      </c>
      <c r="E90" s="4" t="s">
        <v>3</v>
      </c>
      <c r="F90" s="6">
        <v>13244.7</v>
      </c>
      <c r="G90" s="4" t="s">
        <v>27</v>
      </c>
      <c r="H90" s="9">
        <v>15000</v>
      </c>
      <c r="I90" s="8" cm="1">
        <f t="array" ref="I90">IF(F90 &gt;= H90,F90 * commission, 0)</f>
        <v>0</v>
      </c>
    </row>
    <row r="91" spans="1:9">
      <c r="A91" s="5">
        <v>44256</v>
      </c>
      <c r="B91" s="4" t="s">
        <v>50</v>
      </c>
      <c r="C91" s="4" t="s">
        <v>51</v>
      </c>
      <c r="D91" s="4" t="s">
        <v>52</v>
      </c>
      <c r="E91" s="4" t="s">
        <v>3</v>
      </c>
      <c r="F91" s="6">
        <v>23014.400000000001</v>
      </c>
      <c r="G91" s="4" t="s">
        <v>27</v>
      </c>
      <c r="H91" s="9">
        <v>15000</v>
      </c>
      <c r="I91" s="8" cm="1">
        <f t="array" ref="I91">IF(F91 &gt;= H91,F91 * commission, 0)</f>
        <v>2301.44</v>
      </c>
    </row>
    <row r="92" spans="1:9">
      <c r="A92" s="5">
        <v>44256</v>
      </c>
      <c r="B92" s="4" t="s">
        <v>41</v>
      </c>
      <c r="C92" s="4" t="s">
        <v>42</v>
      </c>
      <c r="D92" s="4" t="s">
        <v>43</v>
      </c>
      <c r="E92" s="4" t="s">
        <v>3</v>
      </c>
      <c r="F92" s="6">
        <v>26200</v>
      </c>
      <c r="G92" s="4" t="s">
        <v>22</v>
      </c>
      <c r="H92" s="9">
        <v>15000</v>
      </c>
      <c r="I92" s="8" cm="1">
        <f t="array" ref="I92">IF(F92 &gt;= H92,F92 * commission, 0)</f>
        <v>2620</v>
      </c>
    </row>
    <row r="93" spans="1:9">
      <c r="A93" s="5">
        <v>44256</v>
      </c>
      <c r="B93" s="4" t="s">
        <v>44</v>
      </c>
      <c r="C93" s="4" t="s">
        <v>45</v>
      </c>
      <c r="D93" s="4" t="s">
        <v>46</v>
      </c>
      <c r="E93" s="4" t="s">
        <v>3</v>
      </c>
      <c r="F93" s="6">
        <v>28286.399999999998</v>
      </c>
      <c r="G93" s="4" t="s">
        <v>27</v>
      </c>
      <c r="H93" s="9">
        <v>15000</v>
      </c>
      <c r="I93" s="8" cm="1">
        <f t="array" ref="I93">IF(F93 &gt;= H93,F93 * commission, 0)</f>
        <v>2828.64</v>
      </c>
    </row>
    <row r="94" spans="1:9">
      <c r="A94" s="5">
        <v>44256</v>
      </c>
      <c r="B94" s="4" t="s">
        <v>41</v>
      </c>
      <c r="C94" s="4" t="s">
        <v>42</v>
      </c>
      <c r="D94" s="4" t="s">
        <v>43</v>
      </c>
      <c r="E94" s="4" t="s">
        <v>3</v>
      </c>
      <c r="F94" s="6">
        <v>35715.4</v>
      </c>
      <c r="G94" s="4" t="s">
        <v>22</v>
      </c>
      <c r="H94" s="9">
        <v>15000</v>
      </c>
      <c r="I94" s="8" cm="1">
        <f t="array" ref="I94">IF(F94 &gt;= H94,F94 * commission, 0)</f>
        <v>3571.5400000000004</v>
      </c>
    </row>
    <row r="95" spans="1:9">
      <c r="A95" s="5">
        <v>44256</v>
      </c>
      <c r="B95" s="4" t="s">
        <v>62</v>
      </c>
      <c r="C95" s="4" t="s">
        <v>63</v>
      </c>
      <c r="D95" s="4" t="s">
        <v>64</v>
      </c>
      <c r="E95" s="4" t="s">
        <v>5</v>
      </c>
      <c r="F95" s="6">
        <v>6708.9</v>
      </c>
      <c r="G95" s="4" t="s">
        <v>28</v>
      </c>
      <c r="H95" s="9">
        <v>15000</v>
      </c>
      <c r="I95" s="8" cm="1">
        <f t="array" ref="I95">IF(F95 &gt;= H95,F95 * commission, 0)</f>
        <v>0</v>
      </c>
    </row>
    <row r="96" spans="1:9">
      <c r="A96" s="5">
        <v>44256</v>
      </c>
      <c r="B96" s="4" t="s">
        <v>59</v>
      </c>
      <c r="C96" s="4" t="s">
        <v>60</v>
      </c>
      <c r="D96" s="4" t="s">
        <v>61</v>
      </c>
      <c r="E96" s="4" t="s">
        <v>5</v>
      </c>
      <c r="F96" s="6">
        <v>7982.7</v>
      </c>
      <c r="G96" s="4" t="s">
        <v>28</v>
      </c>
      <c r="H96" s="9">
        <v>15000</v>
      </c>
      <c r="I96" s="8" cm="1">
        <f t="array" ref="I96">IF(F96 &gt;= H96,F96 * commission, 0)</f>
        <v>0</v>
      </c>
    </row>
    <row r="97" spans="1:9">
      <c r="A97" s="5">
        <v>44256</v>
      </c>
      <c r="B97" s="4" t="s">
        <v>56</v>
      </c>
      <c r="C97" s="4" t="s">
        <v>57</v>
      </c>
      <c r="D97" s="4" t="s">
        <v>58</v>
      </c>
      <c r="E97" s="4" t="s">
        <v>5</v>
      </c>
      <c r="F97" s="6">
        <v>8694</v>
      </c>
      <c r="G97" s="4" t="s">
        <v>27</v>
      </c>
      <c r="H97" s="9">
        <v>15000</v>
      </c>
      <c r="I97" s="8" cm="1">
        <f t="array" ref="I97">IF(F97 &gt;= H97,F97 * commission, 0)</f>
        <v>0</v>
      </c>
    </row>
    <row r="98" spans="1:9">
      <c r="A98" s="5">
        <v>44256</v>
      </c>
      <c r="B98" s="4" t="s">
        <v>56</v>
      </c>
      <c r="C98" s="4" t="s">
        <v>57</v>
      </c>
      <c r="D98" s="4" t="s">
        <v>58</v>
      </c>
      <c r="E98" s="4" t="s">
        <v>5</v>
      </c>
      <c r="F98" s="6">
        <v>9116</v>
      </c>
      <c r="G98" s="4" t="s">
        <v>27</v>
      </c>
      <c r="H98" s="9">
        <v>15000</v>
      </c>
      <c r="I98" s="8" cm="1">
        <f t="array" ref="I98">IF(F98 &gt;= H98,F98 * commission, 0)</f>
        <v>0</v>
      </c>
    </row>
    <row r="99" spans="1:9">
      <c r="A99" s="5">
        <v>44256</v>
      </c>
      <c r="B99" s="4" t="s">
        <v>59</v>
      </c>
      <c r="C99" s="4" t="s">
        <v>60</v>
      </c>
      <c r="D99" s="4" t="s">
        <v>61</v>
      </c>
      <c r="E99" s="4" t="s">
        <v>5</v>
      </c>
      <c r="F99" s="6">
        <v>10110.299999999999</v>
      </c>
      <c r="G99" s="4" t="s">
        <v>27</v>
      </c>
      <c r="H99" s="9">
        <v>15000</v>
      </c>
      <c r="I99" s="8" cm="1">
        <f t="array" ref="I99">IF(F99 &gt;= H99,F99 * commission, 0)</f>
        <v>0</v>
      </c>
    </row>
    <row r="100" spans="1:9">
      <c r="A100" s="5">
        <v>44256</v>
      </c>
      <c r="B100" s="4" t="s">
        <v>53</v>
      </c>
      <c r="C100" s="4" t="s">
        <v>54</v>
      </c>
      <c r="D100" s="4" t="s">
        <v>55</v>
      </c>
      <c r="E100" s="4" t="s">
        <v>5</v>
      </c>
      <c r="F100" s="6">
        <v>10451.199999999999</v>
      </c>
      <c r="G100" s="4" t="s">
        <v>27</v>
      </c>
      <c r="H100" s="9">
        <v>15000</v>
      </c>
      <c r="I100" s="8" cm="1">
        <f t="array" ref="I100">IF(F100 &gt;= H100,F100 * commission, 0)</f>
        <v>0</v>
      </c>
    </row>
    <row r="101" spans="1:9">
      <c r="A101" s="5">
        <v>44256</v>
      </c>
      <c r="B101" s="4" t="s">
        <v>53</v>
      </c>
      <c r="C101" s="4" t="s">
        <v>54</v>
      </c>
      <c r="D101" s="4" t="s">
        <v>55</v>
      </c>
      <c r="E101" s="4" t="s">
        <v>5</v>
      </c>
      <c r="F101" s="6">
        <v>11580.4</v>
      </c>
      <c r="G101" s="4" t="s">
        <v>22</v>
      </c>
      <c r="H101" s="9">
        <v>15000</v>
      </c>
      <c r="I101" s="8" cm="1">
        <f t="array" ref="I101">IF(F101 &gt;= H101,F101 * commission, 0)</f>
        <v>0</v>
      </c>
    </row>
    <row r="102" spans="1:9">
      <c r="A102" s="5">
        <v>44256</v>
      </c>
      <c r="B102" s="4" t="s">
        <v>56</v>
      </c>
      <c r="C102" s="4" t="s">
        <v>57</v>
      </c>
      <c r="D102" s="4" t="s">
        <v>58</v>
      </c>
      <c r="E102" s="4" t="s">
        <v>5</v>
      </c>
      <c r="F102" s="6">
        <v>14329.5</v>
      </c>
      <c r="G102" s="4" t="s">
        <v>27</v>
      </c>
      <c r="H102" s="9">
        <v>15000</v>
      </c>
      <c r="I102" s="8" cm="1">
        <f t="array" ref="I102">IF(F102 &gt;= H102,F102 * commission, 0)</f>
        <v>0</v>
      </c>
    </row>
    <row r="103" spans="1:9">
      <c r="A103" s="5">
        <v>44256</v>
      </c>
      <c r="B103" s="4" t="s">
        <v>56</v>
      </c>
      <c r="C103" s="4" t="s">
        <v>57</v>
      </c>
      <c r="D103" s="4" t="s">
        <v>58</v>
      </c>
      <c r="E103" s="4" t="s">
        <v>5</v>
      </c>
      <c r="F103" s="6">
        <v>20128</v>
      </c>
      <c r="G103" s="4" t="s">
        <v>28</v>
      </c>
      <c r="H103" s="9">
        <v>15000</v>
      </c>
      <c r="I103" s="8" cm="1">
        <f t="array" ref="I103">IF(F103 &gt;= H103,F103 * commission, 0)</f>
        <v>2012.8000000000002</v>
      </c>
    </row>
    <row r="104" spans="1:9">
      <c r="A104" s="5">
        <v>44256</v>
      </c>
      <c r="B104" s="4" t="s">
        <v>62</v>
      </c>
      <c r="C104" s="4" t="s">
        <v>63</v>
      </c>
      <c r="D104" s="4" t="s">
        <v>64</v>
      </c>
      <c r="E104" s="4" t="s">
        <v>5</v>
      </c>
      <c r="F104" s="6">
        <v>21167.999999999996</v>
      </c>
      <c r="G104" s="4" t="s">
        <v>27</v>
      </c>
      <c r="H104" s="9">
        <v>15000</v>
      </c>
      <c r="I104" s="8" cm="1">
        <f t="array" ref="I104">IF(F104 &gt;= H104,F104 * commission, 0)</f>
        <v>2116.7999999999997</v>
      </c>
    </row>
    <row r="105" spans="1:9">
      <c r="A105" s="5">
        <v>44256</v>
      </c>
      <c r="B105" s="4" t="s">
        <v>74</v>
      </c>
      <c r="C105" s="4" t="s">
        <v>75</v>
      </c>
      <c r="D105" s="4" t="s">
        <v>76</v>
      </c>
      <c r="E105" s="4" t="s">
        <v>5</v>
      </c>
      <c r="F105" s="6">
        <v>25102.399999999998</v>
      </c>
      <c r="G105" s="4" t="s">
        <v>22</v>
      </c>
      <c r="H105" s="9">
        <v>15000</v>
      </c>
      <c r="I105" s="8" cm="1">
        <f t="array" ref="I105">IF(F105 &gt;= H105,F105 * commission, 0)</f>
        <v>2510.2399999999998</v>
      </c>
    </row>
    <row r="106" spans="1:9">
      <c r="A106" s="5">
        <v>44256</v>
      </c>
      <c r="B106" s="4" t="s">
        <v>74</v>
      </c>
      <c r="C106" s="4" t="s">
        <v>75</v>
      </c>
      <c r="D106" s="4" t="s">
        <v>76</v>
      </c>
      <c r="E106" s="4" t="s">
        <v>5</v>
      </c>
      <c r="F106" s="6">
        <v>27670.9</v>
      </c>
      <c r="G106" s="4" t="s">
        <v>28</v>
      </c>
      <c r="H106" s="9">
        <v>15000</v>
      </c>
      <c r="I106" s="8" cm="1">
        <f t="array" ref="I106">IF(F106 &gt;= H106,F106 * commission, 0)</f>
        <v>2767.09</v>
      </c>
    </row>
    <row r="107" spans="1:9">
      <c r="A107" s="5">
        <v>44256</v>
      </c>
      <c r="B107" s="4" t="s">
        <v>74</v>
      </c>
      <c r="C107" s="4" t="s">
        <v>75</v>
      </c>
      <c r="D107" s="4" t="s">
        <v>76</v>
      </c>
      <c r="E107" s="4" t="s">
        <v>5</v>
      </c>
      <c r="F107" s="6">
        <v>27956.799999999999</v>
      </c>
      <c r="G107" s="4" t="s">
        <v>22</v>
      </c>
      <c r="H107" s="9">
        <v>15000</v>
      </c>
      <c r="I107" s="8" cm="1">
        <f t="array" ref="I107">IF(F107 &gt;= H107,F107 * commission, 0)</f>
        <v>2795.6800000000003</v>
      </c>
    </row>
    <row r="108" spans="1:9">
      <c r="A108" s="5">
        <v>44256</v>
      </c>
      <c r="B108" s="4" t="s">
        <v>56</v>
      </c>
      <c r="C108" s="4" t="s">
        <v>57</v>
      </c>
      <c r="D108" s="4" t="s">
        <v>58</v>
      </c>
      <c r="E108" s="4" t="s">
        <v>5</v>
      </c>
      <c r="F108" s="6">
        <v>31407</v>
      </c>
      <c r="G108" s="4" t="s">
        <v>22</v>
      </c>
      <c r="H108" s="9">
        <v>15000</v>
      </c>
      <c r="I108" s="8" cm="1">
        <f t="array" ref="I108">IF(F108 &gt;= H108,F108 * commission, 0)</f>
        <v>3140.7000000000003</v>
      </c>
    </row>
    <row r="109" spans="1:9">
      <c r="A109" s="5">
        <v>44256</v>
      </c>
      <c r="B109" s="4" t="s">
        <v>59</v>
      </c>
      <c r="C109" s="4" t="s">
        <v>60</v>
      </c>
      <c r="D109" s="4" t="s">
        <v>61</v>
      </c>
      <c r="E109" s="4" t="s">
        <v>5</v>
      </c>
      <c r="F109" s="6">
        <v>35647.5</v>
      </c>
      <c r="G109" s="4" t="s">
        <v>28</v>
      </c>
      <c r="H109" s="9">
        <v>15000</v>
      </c>
      <c r="I109" s="8" cm="1">
        <f t="array" ref="I109">IF(F109 &gt;= H109,F109 * commission, 0)</f>
        <v>3564.75</v>
      </c>
    </row>
    <row r="110" spans="1:9">
      <c r="A110" s="5">
        <v>44256</v>
      </c>
      <c r="B110" s="4" t="s">
        <v>59</v>
      </c>
      <c r="C110" s="4" t="s">
        <v>60</v>
      </c>
      <c r="D110" s="4" t="s">
        <v>61</v>
      </c>
      <c r="E110" s="4" t="s">
        <v>5</v>
      </c>
      <c r="F110" s="6">
        <v>36907.200000000004</v>
      </c>
      <c r="G110" s="4" t="s">
        <v>22</v>
      </c>
      <c r="H110" s="9">
        <v>15000</v>
      </c>
      <c r="I110" s="8" cm="1">
        <f t="array" ref="I110">IF(F110 &gt;= H110,F110 * commission, 0)</f>
        <v>3690.7200000000007</v>
      </c>
    </row>
    <row r="111" spans="1:9">
      <c r="A111" s="5">
        <v>44287</v>
      </c>
      <c r="B111" s="4" t="s">
        <v>24</v>
      </c>
      <c r="C111" s="4" t="s">
        <v>25</v>
      </c>
      <c r="D111" s="4" t="s">
        <v>26</v>
      </c>
      <c r="E111" s="4" t="s">
        <v>4</v>
      </c>
      <c r="F111" s="6">
        <v>7029.9</v>
      </c>
      <c r="G111" s="4" t="s">
        <v>28</v>
      </c>
      <c r="H111" s="9">
        <v>15000</v>
      </c>
      <c r="I111" s="8" cm="1">
        <f t="array" ref="I111">IF(F111 &gt;= H111,F111 * commission, 0)</f>
        <v>0</v>
      </c>
    </row>
    <row r="112" spans="1:9">
      <c r="A112" s="5">
        <v>44287</v>
      </c>
      <c r="B112" s="4" t="s">
        <v>24</v>
      </c>
      <c r="C112" s="4" t="s">
        <v>25</v>
      </c>
      <c r="D112" s="4" t="s">
        <v>26</v>
      </c>
      <c r="E112" s="4" t="s">
        <v>4</v>
      </c>
      <c r="F112" s="6">
        <v>11914.400000000001</v>
      </c>
      <c r="G112" s="4" t="s">
        <v>22</v>
      </c>
      <c r="H112" s="9">
        <v>15000</v>
      </c>
      <c r="I112" s="8" cm="1">
        <f t="array" ref="I112">IF(F112 &gt;= H112,F112 * commission, 0)</f>
        <v>0</v>
      </c>
    </row>
    <row r="113" spans="1:9">
      <c r="A113" s="5">
        <v>44287</v>
      </c>
      <c r="B113" s="4" t="s">
        <v>29</v>
      </c>
      <c r="C113" s="4" t="s">
        <v>30</v>
      </c>
      <c r="D113" s="4" t="s">
        <v>31</v>
      </c>
      <c r="E113" s="4" t="s">
        <v>4</v>
      </c>
      <c r="F113" s="6">
        <v>15919.7</v>
      </c>
      <c r="G113" s="4" t="s">
        <v>27</v>
      </c>
      <c r="H113" s="9">
        <v>15000</v>
      </c>
      <c r="I113" s="8" cm="1">
        <f t="array" ref="I113">IF(F113 &gt;= H113,F113 * commission, 0)</f>
        <v>1591.9700000000003</v>
      </c>
    </row>
    <row r="114" spans="1:9">
      <c r="A114" s="5">
        <v>44287</v>
      </c>
      <c r="B114" s="4" t="s">
        <v>19</v>
      </c>
      <c r="C114" s="4" t="s">
        <v>20</v>
      </c>
      <c r="D114" s="4" t="s">
        <v>21</v>
      </c>
      <c r="E114" s="4" t="s">
        <v>4</v>
      </c>
      <c r="F114" s="6">
        <v>17776</v>
      </c>
      <c r="G114" s="4" t="s">
        <v>28</v>
      </c>
      <c r="H114" s="9">
        <v>15000</v>
      </c>
      <c r="I114" s="8" cm="1">
        <f t="array" ref="I114">IF(F114 &gt;= H114,F114 * commission, 0)</f>
        <v>1777.6000000000001</v>
      </c>
    </row>
    <row r="115" spans="1:9">
      <c r="A115" s="5">
        <v>44287</v>
      </c>
      <c r="B115" s="4" t="s">
        <v>65</v>
      </c>
      <c r="C115" s="4" t="s">
        <v>66</v>
      </c>
      <c r="D115" s="4" t="s">
        <v>67</v>
      </c>
      <c r="E115" s="4" t="s">
        <v>4</v>
      </c>
      <c r="F115" s="6">
        <v>36666</v>
      </c>
      <c r="G115" s="4" t="s">
        <v>22</v>
      </c>
      <c r="H115" s="9">
        <v>15000</v>
      </c>
      <c r="I115" s="8" cm="1">
        <f t="array" ref="I115">IF(F115 &gt;= H115,F115 * commission, 0)</f>
        <v>3666.6000000000004</v>
      </c>
    </row>
    <row r="116" spans="1:9">
      <c r="A116" s="5">
        <v>44287</v>
      </c>
      <c r="B116" s="4" t="s">
        <v>19</v>
      </c>
      <c r="C116" s="4" t="s">
        <v>20</v>
      </c>
      <c r="D116" s="4" t="s">
        <v>21</v>
      </c>
      <c r="E116" s="4" t="s">
        <v>4</v>
      </c>
      <c r="F116" s="6">
        <v>38227.699999999997</v>
      </c>
      <c r="G116" s="4" t="s">
        <v>27</v>
      </c>
      <c r="H116" s="9">
        <v>15000</v>
      </c>
      <c r="I116" s="8" cm="1">
        <f t="array" ref="I116">IF(F116 &gt;= H116,F116 * commission, 0)</f>
        <v>3822.77</v>
      </c>
    </row>
    <row r="117" spans="1:9">
      <c r="A117" s="5">
        <v>44287</v>
      </c>
      <c r="B117" s="4" t="s">
        <v>19</v>
      </c>
      <c r="C117" s="4" t="s">
        <v>20</v>
      </c>
      <c r="D117" s="4" t="s">
        <v>21</v>
      </c>
      <c r="E117" s="4" t="s">
        <v>4</v>
      </c>
      <c r="F117" s="6">
        <v>51531.199999999997</v>
      </c>
      <c r="G117" s="4" t="s">
        <v>28</v>
      </c>
      <c r="H117" s="9">
        <v>15000</v>
      </c>
      <c r="I117" s="8" cm="1">
        <f t="array" ref="I117">IF(F117 &gt;= H117,F117 * commission, 0)</f>
        <v>5153.12</v>
      </c>
    </row>
    <row r="118" spans="1:9">
      <c r="A118" s="5">
        <v>44287</v>
      </c>
      <c r="B118" s="4" t="s">
        <v>35</v>
      </c>
      <c r="C118" s="4" t="s">
        <v>36</v>
      </c>
      <c r="D118" s="4" t="s">
        <v>37</v>
      </c>
      <c r="E118" s="4" t="s">
        <v>2</v>
      </c>
      <c r="F118" s="6">
        <v>8520</v>
      </c>
      <c r="G118" s="4" t="s">
        <v>28</v>
      </c>
      <c r="H118" s="9">
        <v>15000</v>
      </c>
      <c r="I118" s="8" cm="1">
        <f t="array" ref="I118">IF(F118 &gt;= H118,F118 * commission, 0)</f>
        <v>0</v>
      </c>
    </row>
    <row r="119" spans="1:9">
      <c r="A119" s="5">
        <v>44287</v>
      </c>
      <c r="B119" s="4" t="s">
        <v>77</v>
      </c>
      <c r="C119" s="4" t="s">
        <v>78</v>
      </c>
      <c r="D119" s="4" t="s">
        <v>79</v>
      </c>
      <c r="E119" s="4" t="s">
        <v>2</v>
      </c>
      <c r="F119" s="6">
        <v>14301.599999999999</v>
      </c>
      <c r="G119" s="4" t="s">
        <v>28</v>
      </c>
      <c r="H119" s="9">
        <v>15000</v>
      </c>
      <c r="I119" s="8" cm="1">
        <f t="array" ref="I119">IF(F119 &gt;= H119,F119 * commission, 0)</f>
        <v>0</v>
      </c>
    </row>
    <row r="120" spans="1:9">
      <c r="A120" s="5">
        <v>44287</v>
      </c>
      <c r="B120" s="4" t="s">
        <v>77</v>
      </c>
      <c r="C120" s="4" t="s">
        <v>78</v>
      </c>
      <c r="D120" s="4" t="s">
        <v>79</v>
      </c>
      <c r="E120" s="4" t="s">
        <v>2</v>
      </c>
      <c r="F120" s="6">
        <v>17204.399999999998</v>
      </c>
      <c r="G120" s="4" t="s">
        <v>27</v>
      </c>
      <c r="H120" s="9">
        <v>15000</v>
      </c>
      <c r="I120" s="8" cm="1">
        <f t="array" ref="I120">IF(F120 &gt;= H120,F120 * commission, 0)</f>
        <v>1720.4399999999998</v>
      </c>
    </row>
    <row r="121" spans="1:9">
      <c r="A121" s="5">
        <v>44287</v>
      </c>
      <c r="B121" s="4" t="s">
        <v>80</v>
      </c>
      <c r="C121" s="4" t="s">
        <v>81</v>
      </c>
      <c r="D121" s="4" t="s">
        <v>82</v>
      </c>
      <c r="E121" s="4" t="s">
        <v>2</v>
      </c>
      <c r="F121" s="6">
        <v>19080</v>
      </c>
      <c r="G121" s="4" t="s">
        <v>22</v>
      </c>
      <c r="H121" s="9">
        <v>15000</v>
      </c>
      <c r="I121" s="8" cm="1">
        <f t="array" ref="I121">IF(F121 &gt;= H121,F121 * commission, 0)</f>
        <v>1908</v>
      </c>
    </row>
    <row r="122" spans="1:9">
      <c r="A122" s="5">
        <v>44287</v>
      </c>
      <c r="B122" s="4" t="s">
        <v>35</v>
      </c>
      <c r="C122" s="4" t="s">
        <v>36</v>
      </c>
      <c r="D122" s="4" t="s">
        <v>37</v>
      </c>
      <c r="E122" s="4" t="s">
        <v>2</v>
      </c>
      <c r="F122" s="6">
        <v>19210.400000000001</v>
      </c>
      <c r="G122" s="4" t="s">
        <v>27</v>
      </c>
      <c r="H122" s="9">
        <v>15000</v>
      </c>
      <c r="I122" s="8" cm="1">
        <f t="array" ref="I122">IF(F122 &gt;= H122,F122 * commission, 0)</f>
        <v>1921.0400000000002</v>
      </c>
    </row>
    <row r="123" spans="1:9">
      <c r="A123" s="5">
        <v>44287</v>
      </c>
      <c r="B123" s="4" t="s">
        <v>35</v>
      </c>
      <c r="C123" s="4" t="s">
        <v>36</v>
      </c>
      <c r="D123" s="4" t="s">
        <v>37</v>
      </c>
      <c r="E123" s="4" t="s">
        <v>2</v>
      </c>
      <c r="F123" s="6">
        <v>32282.799999999996</v>
      </c>
      <c r="G123" s="4" t="s">
        <v>22</v>
      </c>
      <c r="H123" s="9">
        <v>15000</v>
      </c>
      <c r="I123" s="8" cm="1">
        <f t="array" ref="I123">IF(F123 &gt;= H123,F123 * commission, 0)</f>
        <v>3228.2799999999997</v>
      </c>
    </row>
    <row r="124" spans="1:9">
      <c r="A124" s="5">
        <v>44287</v>
      </c>
      <c r="B124" s="4" t="s">
        <v>68</v>
      </c>
      <c r="C124" s="4" t="s">
        <v>69</v>
      </c>
      <c r="D124" s="4" t="s">
        <v>70</v>
      </c>
      <c r="E124" s="4" t="s">
        <v>2</v>
      </c>
      <c r="F124" s="6">
        <v>32524.1</v>
      </c>
      <c r="G124" s="4" t="s">
        <v>27</v>
      </c>
      <c r="H124" s="9">
        <v>15000</v>
      </c>
      <c r="I124" s="8" cm="1">
        <f t="array" ref="I124">IF(F124 &gt;= H124,F124 * commission, 0)</f>
        <v>3252.41</v>
      </c>
    </row>
    <row r="125" spans="1:9">
      <c r="A125" s="5">
        <v>44287</v>
      </c>
      <c r="B125" s="4" t="s">
        <v>35</v>
      </c>
      <c r="C125" s="4" t="s">
        <v>36</v>
      </c>
      <c r="D125" s="4" t="s">
        <v>37</v>
      </c>
      <c r="E125" s="4" t="s">
        <v>2</v>
      </c>
      <c r="F125" s="6">
        <v>35153.799999999996</v>
      </c>
      <c r="G125" s="4" t="s">
        <v>27</v>
      </c>
      <c r="H125" s="9">
        <v>15000</v>
      </c>
      <c r="I125" s="8" cm="1">
        <f t="array" ref="I125">IF(F125 &gt;= H125,F125 * commission, 0)</f>
        <v>3515.3799999999997</v>
      </c>
    </row>
    <row r="126" spans="1:9">
      <c r="A126" s="5">
        <v>44287</v>
      </c>
      <c r="B126" s="4" t="s">
        <v>35</v>
      </c>
      <c r="C126" s="4" t="s">
        <v>36</v>
      </c>
      <c r="D126" s="4" t="s">
        <v>37</v>
      </c>
      <c r="E126" s="4" t="s">
        <v>2</v>
      </c>
      <c r="F126" s="6">
        <v>35820</v>
      </c>
      <c r="G126" s="4" t="s">
        <v>28</v>
      </c>
      <c r="H126" s="9">
        <v>15000</v>
      </c>
      <c r="I126" s="8" cm="1">
        <f t="array" ref="I126">IF(F126 &gt;= H126,F126 * commission, 0)</f>
        <v>3582</v>
      </c>
    </row>
    <row r="127" spans="1:9">
      <c r="A127" s="5">
        <v>44287</v>
      </c>
      <c r="B127" s="4" t="s">
        <v>38</v>
      </c>
      <c r="C127" s="4" t="s">
        <v>39</v>
      </c>
      <c r="D127" s="4" t="s">
        <v>40</v>
      </c>
      <c r="E127" s="4" t="s">
        <v>2</v>
      </c>
      <c r="F127" s="6">
        <v>42690.400000000001</v>
      </c>
      <c r="G127" s="4" t="s">
        <v>28</v>
      </c>
      <c r="H127" s="9">
        <v>15000</v>
      </c>
      <c r="I127" s="8" cm="1">
        <f t="array" ref="I127">IF(F127 &gt;= H127,F127 * commission, 0)</f>
        <v>4269.04</v>
      </c>
    </row>
    <row r="128" spans="1:9">
      <c r="A128" s="5">
        <v>44287</v>
      </c>
      <c r="B128" s="4" t="s">
        <v>71</v>
      </c>
      <c r="C128" s="4" t="s">
        <v>72</v>
      </c>
      <c r="D128" s="4" t="s">
        <v>73</v>
      </c>
      <c r="E128" s="4" t="s">
        <v>3</v>
      </c>
      <c r="F128" s="6">
        <v>6960</v>
      </c>
      <c r="G128" s="4" t="s">
        <v>28</v>
      </c>
      <c r="H128" s="9">
        <v>15000</v>
      </c>
      <c r="I128" s="8" cm="1">
        <f t="array" ref="I128">IF(F128 &gt;= H128,F128 * commission, 0)</f>
        <v>0</v>
      </c>
    </row>
    <row r="129" spans="1:9">
      <c r="A129" s="5">
        <v>44287</v>
      </c>
      <c r="B129" s="4" t="s">
        <v>50</v>
      </c>
      <c r="C129" s="4" t="s">
        <v>51</v>
      </c>
      <c r="D129" s="4" t="s">
        <v>52</v>
      </c>
      <c r="E129" s="4" t="s">
        <v>3</v>
      </c>
      <c r="F129" s="6">
        <v>9627.8999999999978</v>
      </c>
      <c r="G129" s="4" t="s">
        <v>27</v>
      </c>
      <c r="H129" s="9">
        <v>15000</v>
      </c>
      <c r="I129" s="8" cm="1">
        <f t="array" ref="I129">IF(F129 &gt;= H129,F129 * commission, 0)</f>
        <v>0</v>
      </c>
    </row>
    <row r="130" spans="1:9">
      <c r="A130" s="5">
        <v>44287</v>
      </c>
      <c r="B130" s="4" t="s">
        <v>47</v>
      </c>
      <c r="C130" s="4" t="s">
        <v>48</v>
      </c>
      <c r="D130" s="4" t="s">
        <v>49</v>
      </c>
      <c r="E130" s="4" t="s">
        <v>3</v>
      </c>
      <c r="F130" s="6">
        <v>13725.600000000002</v>
      </c>
      <c r="G130" s="4" t="s">
        <v>28</v>
      </c>
      <c r="H130" s="9">
        <v>15000</v>
      </c>
      <c r="I130" s="8" cm="1">
        <f t="array" ref="I130">IF(F130 &gt;= H130,F130 * commission, 0)</f>
        <v>0</v>
      </c>
    </row>
    <row r="131" spans="1:9">
      <c r="A131" s="5">
        <v>44287</v>
      </c>
      <c r="B131" s="4" t="s">
        <v>50</v>
      </c>
      <c r="C131" s="4" t="s">
        <v>51</v>
      </c>
      <c r="D131" s="4" t="s">
        <v>52</v>
      </c>
      <c r="E131" s="4" t="s">
        <v>3</v>
      </c>
      <c r="F131" s="6">
        <v>15353.2</v>
      </c>
      <c r="G131" s="4" t="s">
        <v>27</v>
      </c>
      <c r="H131" s="9">
        <v>15000</v>
      </c>
      <c r="I131" s="8" cm="1">
        <f t="array" ref="I131">IF(F131 &gt;= H131,F131 * commission, 0)</f>
        <v>1535.3200000000002</v>
      </c>
    </row>
    <row r="132" spans="1:9">
      <c r="A132" s="5">
        <v>44287</v>
      </c>
      <c r="B132" s="4" t="s">
        <v>41</v>
      </c>
      <c r="C132" s="4" t="s">
        <v>42</v>
      </c>
      <c r="D132" s="4" t="s">
        <v>43</v>
      </c>
      <c r="E132" s="4" t="s">
        <v>3</v>
      </c>
      <c r="F132" s="6">
        <v>18994.5</v>
      </c>
      <c r="G132" s="4" t="s">
        <v>22</v>
      </c>
      <c r="H132" s="9">
        <v>15000</v>
      </c>
      <c r="I132" s="8" cm="1">
        <f t="array" ref="I132">IF(F132 &gt;= H132,F132 * commission, 0)</f>
        <v>1899.45</v>
      </c>
    </row>
    <row r="133" spans="1:9">
      <c r="A133" s="5">
        <v>44287</v>
      </c>
      <c r="B133" s="4" t="s">
        <v>41</v>
      </c>
      <c r="C133" s="4" t="s">
        <v>42</v>
      </c>
      <c r="D133" s="4" t="s">
        <v>43</v>
      </c>
      <c r="E133" s="4" t="s">
        <v>3</v>
      </c>
      <c r="F133" s="6">
        <v>28628.799999999996</v>
      </c>
      <c r="G133" s="4" t="s">
        <v>28</v>
      </c>
      <c r="H133" s="9">
        <v>15000</v>
      </c>
      <c r="I133" s="8" cm="1">
        <f t="array" ref="I133">IF(F133 &gt;= H133,F133 * commission, 0)</f>
        <v>2862.8799999999997</v>
      </c>
    </row>
    <row r="134" spans="1:9">
      <c r="A134" s="5">
        <v>44287</v>
      </c>
      <c r="B134" s="4" t="s">
        <v>59</v>
      </c>
      <c r="C134" s="4" t="s">
        <v>60</v>
      </c>
      <c r="D134" s="4" t="s">
        <v>61</v>
      </c>
      <c r="E134" s="4" t="s">
        <v>5</v>
      </c>
      <c r="F134" s="6">
        <v>5696.4</v>
      </c>
      <c r="G134" s="4" t="s">
        <v>27</v>
      </c>
      <c r="H134" s="9">
        <v>15000</v>
      </c>
      <c r="I134" s="8" cm="1">
        <f t="array" ref="I134">IF(F134 &gt;= H134,F134 * commission, 0)</f>
        <v>0</v>
      </c>
    </row>
    <row r="135" spans="1:9">
      <c r="A135" s="5">
        <v>44287</v>
      </c>
      <c r="B135" s="4" t="s">
        <v>53</v>
      </c>
      <c r="C135" s="4" t="s">
        <v>54</v>
      </c>
      <c r="D135" s="4" t="s">
        <v>55</v>
      </c>
      <c r="E135" s="4" t="s">
        <v>5</v>
      </c>
      <c r="F135" s="6">
        <v>11716.5</v>
      </c>
      <c r="G135" s="4" t="s">
        <v>27</v>
      </c>
      <c r="H135" s="9">
        <v>15000</v>
      </c>
      <c r="I135" s="8" cm="1">
        <f t="array" ref="I135">IF(F135 &gt;= H135,F135 * commission, 0)</f>
        <v>0</v>
      </c>
    </row>
    <row r="136" spans="1:9">
      <c r="A136" s="5">
        <v>44287</v>
      </c>
      <c r="B136" s="4" t="s">
        <v>62</v>
      </c>
      <c r="C136" s="4" t="s">
        <v>63</v>
      </c>
      <c r="D136" s="4" t="s">
        <v>64</v>
      </c>
      <c r="E136" s="4" t="s">
        <v>5</v>
      </c>
      <c r="F136" s="6">
        <v>14416</v>
      </c>
      <c r="G136" s="4" t="s">
        <v>28</v>
      </c>
      <c r="H136" s="9">
        <v>15000</v>
      </c>
      <c r="I136" s="8" cm="1">
        <f t="array" ref="I136">IF(F136 &gt;= H136,F136 * commission, 0)</f>
        <v>0</v>
      </c>
    </row>
    <row r="137" spans="1:9">
      <c r="A137" s="5">
        <v>44287</v>
      </c>
      <c r="B137" s="4" t="s">
        <v>53</v>
      </c>
      <c r="C137" s="4" t="s">
        <v>54</v>
      </c>
      <c r="D137" s="4" t="s">
        <v>55</v>
      </c>
      <c r="E137" s="4" t="s">
        <v>5</v>
      </c>
      <c r="F137" s="6">
        <v>16499.400000000001</v>
      </c>
      <c r="G137" s="4" t="s">
        <v>22</v>
      </c>
      <c r="H137" s="9">
        <v>15000</v>
      </c>
      <c r="I137" s="8" cm="1">
        <f t="array" ref="I137">IF(F137 &gt;= H137,F137 * commission, 0)</f>
        <v>1649.9400000000003</v>
      </c>
    </row>
    <row r="138" spans="1:9">
      <c r="A138" s="5">
        <v>44287</v>
      </c>
      <c r="B138" s="4" t="s">
        <v>59</v>
      </c>
      <c r="C138" s="4" t="s">
        <v>60</v>
      </c>
      <c r="D138" s="4" t="s">
        <v>61</v>
      </c>
      <c r="E138" s="4" t="s">
        <v>5</v>
      </c>
      <c r="F138" s="6">
        <v>16968</v>
      </c>
      <c r="G138" s="4" t="s">
        <v>28</v>
      </c>
      <c r="H138" s="9">
        <v>15000</v>
      </c>
      <c r="I138" s="8" cm="1">
        <f t="array" ref="I138">IF(F138 &gt;= H138,F138 * commission, 0)</f>
        <v>1696.8000000000002</v>
      </c>
    </row>
    <row r="139" spans="1:9">
      <c r="A139" s="5">
        <v>44287</v>
      </c>
      <c r="B139" s="4" t="s">
        <v>56</v>
      </c>
      <c r="C139" s="4" t="s">
        <v>57</v>
      </c>
      <c r="D139" s="4" t="s">
        <v>58</v>
      </c>
      <c r="E139" s="4" t="s">
        <v>5</v>
      </c>
      <c r="F139" s="6">
        <v>17993.5</v>
      </c>
      <c r="G139" s="4" t="s">
        <v>27</v>
      </c>
      <c r="H139" s="9">
        <v>15000</v>
      </c>
      <c r="I139" s="8" cm="1">
        <f t="array" ref="I139">IF(F139 &gt;= H139,F139 * commission, 0)</f>
        <v>1799.3500000000001</v>
      </c>
    </row>
    <row r="140" spans="1:9">
      <c r="A140" s="5">
        <v>44287</v>
      </c>
      <c r="B140" s="4" t="s">
        <v>59</v>
      </c>
      <c r="C140" s="4" t="s">
        <v>60</v>
      </c>
      <c r="D140" s="4" t="s">
        <v>61</v>
      </c>
      <c r="E140" s="4" t="s">
        <v>5</v>
      </c>
      <c r="F140" s="6">
        <v>18188.399999999998</v>
      </c>
      <c r="G140" s="4" t="s">
        <v>22</v>
      </c>
      <c r="H140" s="9">
        <v>15000</v>
      </c>
      <c r="I140" s="8" cm="1">
        <f t="array" ref="I140">IF(F140 &gt;= H140,F140 * commission, 0)</f>
        <v>1818.84</v>
      </c>
    </row>
    <row r="141" spans="1:9">
      <c r="A141" s="5">
        <v>44317</v>
      </c>
      <c r="B141" s="4" t="s">
        <v>32</v>
      </c>
      <c r="C141" s="4" t="s">
        <v>33</v>
      </c>
      <c r="D141" s="4" t="s">
        <v>34</v>
      </c>
      <c r="E141" s="4" t="s">
        <v>4</v>
      </c>
      <c r="F141" s="6">
        <v>8686.6</v>
      </c>
      <c r="G141" s="4" t="s">
        <v>22</v>
      </c>
      <c r="H141" s="9">
        <v>15000</v>
      </c>
      <c r="I141" s="8" cm="1">
        <f t="array" ref="I141">IF(F141 &gt;= H141,F141 * commission, 0)</f>
        <v>0</v>
      </c>
    </row>
    <row r="142" spans="1:9">
      <c r="A142" s="5">
        <v>44317</v>
      </c>
      <c r="B142" s="4" t="s">
        <v>19</v>
      </c>
      <c r="C142" s="4" t="s">
        <v>20</v>
      </c>
      <c r="D142" s="4" t="s">
        <v>21</v>
      </c>
      <c r="E142" s="4" t="s">
        <v>4</v>
      </c>
      <c r="F142" s="6">
        <v>12422.2</v>
      </c>
      <c r="G142" s="4" t="s">
        <v>28</v>
      </c>
      <c r="H142" s="9">
        <v>15000</v>
      </c>
      <c r="I142" s="8" cm="1">
        <f t="array" ref="I142">IF(F142 &gt;= H142,F142 * commission, 0)</f>
        <v>0</v>
      </c>
    </row>
    <row r="143" spans="1:9">
      <c r="A143" s="5">
        <v>44317</v>
      </c>
      <c r="B143" s="4" t="s">
        <v>65</v>
      </c>
      <c r="C143" s="4" t="s">
        <v>66</v>
      </c>
      <c r="D143" s="4" t="s">
        <v>67</v>
      </c>
      <c r="E143" s="4" t="s">
        <v>4</v>
      </c>
      <c r="F143" s="6">
        <v>15120</v>
      </c>
      <c r="G143" s="4" t="s">
        <v>22</v>
      </c>
      <c r="H143" s="9">
        <v>15000</v>
      </c>
      <c r="I143" s="8" cm="1">
        <f t="array" ref="I143">IF(F143 &gt;= H143,F143 * commission, 0)</f>
        <v>1512</v>
      </c>
    </row>
    <row r="144" spans="1:9">
      <c r="A144" s="5">
        <v>44317</v>
      </c>
      <c r="B144" s="4" t="s">
        <v>32</v>
      </c>
      <c r="C144" s="4" t="s">
        <v>33</v>
      </c>
      <c r="D144" s="4" t="s">
        <v>34</v>
      </c>
      <c r="E144" s="4" t="s">
        <v>4</v>
      </c>
      <c r="F144" s="6">
        <v>16604.400000000001</v>
      </c>
      <c r="G144" s="4" t="s">
        <v>28</v>
      </c>
      <c r="H144" s="9">
        <v>15000</v>
      </c>
      <c r="I144" s="8" cm="1">
        <f t="array" ref="I144">IF(F144 &gt;= H144,F144 * commission, 0)</f>
        <v>1660.4400000000003</v>
      </c>
    </row>
    <row r="145" spans="1:9">
      <c r="A145" s="5">
        <v>44317</v>
      </c>
      <c r="B145" s="4" t="s">
        <v>19</v>
      </c>
      <c r="C145" s="4" t="s">
        <v>20</v>
      </c>
      <c r="D145" s="4" t="s">
        <v>21</v>
      </c>
      <c r="E145" s="4" t="s">
        <v>4</v>
      </c>
      <c r="F145" s="6">
        <v>19584</v>
      </c>
      <c r="G145" s="4" t="s">
        <v>22</v>
      </c>
      <c r="H145" s="9">
        <v>15000</v>
      </c>
      <c r="I145" s="8" cm="1">
        <f t="array" ref="I145">IF(F145 &gt;= H145,F145 * commission, 0)</f>
        <v>1958.4</v>
      </c>
    </row>
    <row r="146" spans="1:9">
      <c r="A146" s="5">
        <v>44317</v>
      </c>
      <c r="B146" s="4" t="s">
        <v>29</v>
      </c>
      <c r="C146" s="4" t="s">
        <v>30</v>
      </c>
      <c r="D146" s="4" t="s">
        <v>31</v>
      </c>
      <c r="E146" s="4" t="s">
        <v>4</v>
      </c>
      <c r="F146" s="6">
        <v>26546.6</v>
      </c>
      <c r="G146" s="4" t="s">
        <v>22</v>
      </c>
      <c r="H146" s="9">
        <v>15000</v>
      </c>
      <c r="I146" s="8" cm="1">
        <f t="array" ref="I146">IF(F146 &gt;= H146,F146 * commission, 0)</f>
        <v>2654.66</v>
      </c>
    </row>
    <row r="147" spans="1:9">
      <c r="A147" s="5">
        <v>44317</v>
      </c>
      <c r="B147" s="4" t="s">
        <v>29</v>
      </c>
      <c r="C147" s="4" t="s">
        <v>30</v>
      </c>
      <c r="D147" s="4" t="s">
        <v>31</v>
      </c>
      <c r="E147" s="4" t="s">
        <v>4</v>
      </c>
      <c r="F147" s="6">
        <v>31200</v>
      </c>
      <c r="G147" s="4" t="s">
        <v>22</v>
      </c>
      <c r="H147" s="9">
        <v>15000</v>
      </c>
      <c r="I147" s="8" cm="1">
        <f t="array" ref="I147">IF(F147 &gt;= H147,F147 * commission, 0)</f>
        <v>3120</v>
      </c>
    </row>
    <row r="148" spans="1:9">
      <c r="A148" s="5">
        <v>44317</v>
      </c>
      <c r="B148" s="4" t="s">
        <v>38</v>
      </c>
      <c r="C148" s="4" t="s">
        <v>39</v>
      </c>
      <c r="D148" s="4" t="s">
        <v>40</v>
      </c>
      <c r="E148" s="4" t="s">
        <v>2</v>
      </c>
      <c r="F148" s="6">
        <v>9270.1</v>
      </c>
      <c r="G148" s="4" t="s">
        <v>27</v>
      </c>
      <c r="H148" s="9">
        <v>15000</v>
      </c>
      <c r="I148" s="8" cm="1">
        <f t="array" ref="I148">IF(F148 &gt;= H148,F148 * commission, 0)</f>
        <v>0</v>
      </c>
    </row>
    <row r="149" spans="1:9">
      <c r="A149" s="5">
        <v>44317</v>
      </c>
      <c r="B149" s="4" t="s">
        <v>38</v>
      </c>
      <c r="C149" s="4" t="s">
        <v>39</v>
      </c>
      <c r="D149" s="4" t="s">
        <v>40</v>
      </c>
      <c r="E149" s="4" t="s">
        <v>2</v>
      </c>
      <c r="F149" s="6">
        <v>11235</v>
      </c>
      <c r="G149" s="4" t="s">
        <v>28</v>
      </c>
      <c r="H149" s="9">
        <v>15000</v>
      </c>
      <c r="I149" s="8" cm="1">
        <f t="array" ref="I149">IF(F149 &gt;= H149,F149 * commission, 0)</f>
        <v>0</v>
      </c>
    </row>
    <row r="150" spans="1:9">
      <c r="A150" s="5">
        <v>44317</v>
      </c>
      <c r="B150" s="4" t="s">
        <v>68</v>
      </c>
      <c r="C150" s="4" t="s">
        <v>69</v>
      </c>
      <c r="D150" s="4" t="s">
        <v>70</v>
      </c>
      <c r="E150" s="4" t="s">
        <v>2</v>
      </c>
      <c r="F150" s="6">
        <v>12019.799999999997</v>
      </c>
      <c r="G150" s="4" t="s">
        <v>27</v>
      </c>
      <c r="H150" s="9">
        <v>15000</v>
      </c>
      <c r="I150" s="8" cm="1">
        <f t="array" ref="I150">IF(F150 &gt;= H150,F150 * commission, 0)</f>
        <v>0</v>
      </c>
    </row>
    <row r="151" spans="1:9">
      <c r="A151" s="5">
        <v>44317</v>
      </c>
      <c r="B151" s="4" t="s">
        <v>35</v>
      </c>
      <c r="C151" s="4" t="s">
        <v>36</v>
      </c>
      <c r="D151" s="4" t="s">
        <v>37</v>
      </c>
      <c r="E151" s="4" t="s">
        <v>2</v>
      </c>
      <c r="F151" s="6">
        <v>27930</v>
      </c>
      <c r="G151" s="4" t="s">
        <v>22</v>
      </c>
      <c r="H151" s="9">
        <v>15000</v>
      </c>
      <c r="I151" s="8" cm="1">
        <f t="array" ref="I151">IF(F151 &gt;= H151,F151 * commission, 0)</f>
        <v>2793</v>
      </c>
    </row>
    <row r="152" spans="1:9">
      <c r="A152" s="5">
        <v>44317</v>
      </c>
      <c r="B152" s="4" t="s">
        <v>71</v>
      </c>
      <c r="C152" s="4" t="s">
        <v>72</v>
      </c>
      <c r="D152" s="4" t="s">
        <v>73</v>
      </c>
      <c r="E152" s="4" t="s">
        <v>3</v>
      </c>
      <c r="F152" s="6">
        <v>10948</v>
      </c>
      <c r="G152" s="4" t="s">
        <v>27</v>
      </c>
      <c r="H152" s="9">
        <v>15000</v>
      </c>
      <c r="I152" s="8" cm="1">
        <f t="array" ref="I152">IF(F152 &gt;= H152,F152 * commission, 0)</f>
        <v>0</v>
      </c>
    </row>
    <row r="153" spans="1:9">
      <c r="A153" s="5">
        <v>44317</v>
      </c>
      <c r="B153" s="4" t="s">
        <v>44</v>
      </c>
      <c r="C153" s="4" t="s">
        <v>45</v>
      </c>
      <c r="D153" s="4" t="s">
        <v>46</v>
      </c>
      <c r="E153" s="4" t="s">
        <v>3</v>
      </c>
      <c r="F153" s="6">
        <v>13044.899999999998</v>
      </c>
      <c r="G153" s="4" t="s">
        <v>27</v>
      </c>
      <c r="H153" s="9">
        <v>15000</v>
      </c>
      <c r="I153" s="8" cm="1">
        <f t="array" ref="I153">IF(F153 &gt;= H153,F153 * commission, 0)</f>
        <v>0</v>
      </c>
    </row>
    <row r="154" spans="1:9">
      <c r="A154" s="5">
        <v>44317</v>
      </c>
      <c r="B154" s="4" t="s">
        <v>50</v>
      </c>
      <c r="C154" s="4" t="s">
        <v>51</v>
      </c>
      <c r="D154" s="4" t="s">
        <v>52</v>
      </c>
      <c r="E154" s="4" t="s">
        <v>3</v>
      </c>
      <c r="F154" s="6">
        <v>28616</v>
      </c>
      <c r="G154" s="4" t="s">
        <v>28</v>
      </c>
      <c r="H154" s="9">
        <v>15000</v>
      </c>
      <c r="I154" s="8" cm="1">
        <f t="array" ref="I154">IF(F154 &gt;= H154,F154 * commission, 0)</f>
        <v>2861.6000000000004</v>
      </c>
    </row>
    <row r="155" spans="1:9">
      <c r="A155" s="5">
        <v>44317</v>
      </c>
      <c r="B155" s="4" t="s">
        <v>47</v>
      </c>
      <c r="C155" s="4" t="s">
        <v>48</v>
      </c>
      <c r="D155" s="4" t="s">
        <v>49</v>
      </c>
      <c r="E155" s="4" t="s">
        <v>3</v>
      </c>
      <c r="F155" s="6">
        <v>30377.399999999998</v>
      </c>
      <c r="G155" s="4" t="s">
        <v>28</v>
      </c>
      <c r="H155" s="9">
        <v>15000</v>
      </c>
      <c r="I155" s="8" cm="1">
        <f t="array" ref="I155">IF(F155 &gt;= H155,F155 * commission, 0)</f>
        <v>3037.74</v>
      </c>
    </row>
    <row r="156" spans="1:9">
      <c r="A156" s="5">
        <v>44317</v>
      </c>
      <c r="B156" s="4" t="s">
        <v>50</v>
      </c>
      <c r="C156" s="4" t="s">
        <v>51</v>
      </c>
      <c r="D156" s="4" t="s">
        <v>52</v>
      </c>
      <c r="E156" s="4" t="s">
        <v>3</v>
      </c>
      <c r="F156" s="6">
        <v>35351</v>
      </c>
      <c r="G156" s="4" t="s">
        <v>22</v>
      </c>
      <c r="H156" s="9">
        <v>15000</v>
      </c>
      <c r="I156" s="8" cm="1">
        <f t="array" ref="I156">IF(F156 &gt;= H156,F156 * commission, 0)</f>
        <v>3535.1000000000004</v>
      </c>
    </row>
    <row r="157" spans="1:9">
      <c r="A157" s="5">
        <v>44317</v>
      </c>
      <c r="B157" s="4" t="s">
        <v>62</v>
      </c>
      <c r="C157" s="4" t="s">
        <v>63</v>
      </c>
      <c r="D157" s="4" t="s">
        <v>64</v>
      </c>
      <c r="E157" s="4" t="s">
        <v>5</v>
      </c>
      <c r="F157" s="6">
        <v>9004.7999999999993</v>
      </c>
      <c r="G157" s="4" t="s">
        <v>27</v>
      </c>
      <c r="H157" s="9">
        <v>15000</v>
      </c>
      <c r="I157" s="8" cm="1">
        <f t="array" ref="I157">IF(F157 &gt;= H157,F157 * commission, 0)</f>
        <v>0</v>
      </c>
    </row>
    <row r="158" spans="1:9">
      <c r="A158" s="5">
        <v>44317</v>
      </c>
      <c r="B158" s="4" t="s">
        <v>59</v>
      </c>
      <c r="C158" s="4" t="s">
        <v>60</v>
      </c>
      <c r="D158" s="4" t="s">
        <v>61</v>
      </c>
      <c r="E158" s="4" t="s">
        <v>5</v>
      </c>
      <c r="F158" s="6">
        <v>18826.400000000001</v>
      </c>
      <c r="G158" s="4" t="s">
        <v>28</v>
      </c>
      <c r="H158" s="9">
        <v>15000</v>
      </c>
      <c r="I158" s="8" cm="1">
        <f t="array" ref="I158">IF(F158 &gt;= H158,F158 * commission, 0)</f>
        <v>1882.6400000000003</v>
      </c>
    </row>
    <row r="159" spans="1:9">
      <c r="A159" s="5">
        <v>44317</v>
      </c>
      <c r="B159" s="4" t="s">
        <v>59</v>
      </c>
      <c r="C159" s="4" t="s">
        <v>60</v>
      </c>
      <c r="D159" s="4" t="s">
        <v>61</v>
      </c>
      <c r="E159" s="4" t="s">
        <v>5</v>
      </c>
      <c r="F159" s="6">
        <v>19617.5</v>
      </c>
      <c r="G159" s="4" t="s">
        <v>28</v>
      </c>
      <c r="H159" s="9">
        <v>15000</v>
      </c>
      <c r="I159" s="8" cm="1">
        <f t="array" ref="I159">IF(F159 &gt;= H159,F159 * commission, 0)</f>
        <v>1961.75</v>
      </c>
    </row>
    <row r="160" spans="1:9">
      <c r="A160" s="5">
        <v>44317</v>
      </c>
      <c r="B160" s="4" t="s">
        <v>59</v>
      </c>
      <c r="C160" s="4" t="s">
        <v>60</v>
      </c>
      <c r="D160" s="4" t="s">
        <v>61</v>
      </c>
      <c r="E160" s="4" t="s">
        <v>5</v>
      </c>
      <c r="F160" s="6">
        <v>19836.400000000001</v>
      </c>
      <c r="G160" s="4" t="s">
        <v>27</v>
      </c>
      <c r="H160" s="9">
        <v>15000</v>
      </c>
      <c r="I160" s="8" cm="1">
        <f t="array" ref="I160">IF(F160 &gt;= H160,F160 * commission, 0)</f>
        <v>1983.6400000000003</v>
      </c>
    </row>
    <row r="161" spans="1:9">
      <c r="A161" s="5">
        <v>44317</v>
      </c>
      <c r="B161" s="4" t="s">
        <v>56</v>
      </c>
      <c r="C161" s="4" t="s">
        <v>57</v>
      </c>
      <c r="D161" s="4" t="s">
        <v>58</v>
      </c>
      <c r="E161" s="4" t="s">
        <v>5</v>
      </c>
      <c r="F161" s="6">
        <v>20717.599999999999</v>
      </c>
      <c r="G161" s="4" t="s">
        <v>22</v>
      </c>
      <c r="H161" s="9">
        <v>15000</v>
      </c>
      <c r="I161" s="8" cm="1">
        <f t="array" ref="I161">IF(F161 &gt;= H161,F161 * commission, 0)</f>
        <v>2071.7599999999998</v>
      </c>
    </row>
    <row r="162" spans="1:9">
      <c r="A162" s="5">
        <v>44317</v>
      </c>
      <c r="B162" s="4" t="s">
        <v>74</v>
      </c>
      <c r="C162" s="4" t="s">
        <v>75</v>
      </c>
      <c r="D162" s="4" t="s">
        <v>76</v>
      </c>
      <c r="E162" s="4" t="s">
        <v>5</v>
      </c>
      <c r="F162" s="6">
        <v>23364</v>
      </c>
      <c r="G162" s="4" t="s">
        <v>22</v>
      </c>
      <c r="H162" s="9">
        <v>15000</v>
      </c>
      <c r="I162" s="8" cm="1">
        <f t="array" ref="I162">IF(F162 &gt;= H162,F162 * commission, 0)</f>
        <v>2336.4</v>
      </c>
    </row>
    <row r="163" spans="1:9">
      <c r="A163" s="5">
        <v>44317</v>
      </c>
      <c r="B163" s="4" t="s">
        <v>59</v>
      </c>
      <c r="C163" s="4" t="s">
        <v>60</v>
      </c>
      <c r="D163" s="4" t="s">
        <v>61</v>
      </c>
      <c r="E163" s="4" t="s">
        <v>5</v>
      </c>
      <c r="F163" s="6">
        <v>23997.600000000002</v>
      </c>
      <c r="G163" s="4" t="s">
        <v>27</v>
      </c>
      <c r="H163" s="9">
        <v>15000</v>
      </c>
      <c r="I163" s="8" cm="1">
        <f t="array" ref="I163">IF(F163 &gt;= H163,F163 * commission, 0)</f>
        <v>2399.7600000000002</v>
      </c>
    </row>
    <row r="164" spans="1:9">
      <c r="A164" s="5">
        <v>44317</v>
      </c>
      <c r="B164" s="4" t="s">
        <v>62</v>
      </c>
      <c r="C164" s="4" t="s">
        <v>63</v>
      </c>
      <c r="D164" s="4" t="s">
        <v>64</v>
      </c>
      <c r="E164" s="4" t="s">
        <v>5</v>
      </c>
      <c r="F164" s="6">
        <v>27916.399999999998</v>
      </c>
      <c r="G164" s="4" t="s">
        <v>28</v>
      </c>
      <c r="H164" s="9">
        <v>15000</v>
      </c>
      <c r="I164" s="8" cm="1">
        <f t="array" ref="I164">IF(F164 &gt;= H164,F164 * commission, 0)</f>
        <v>2791.64</v>
      </c>
    </row>
    <row r="165" spans="1:9">
      <c r="A165" s="5">
        <v>44317</v>
      </c>
      <c r="B165" s="4" t="s">
        <v>62</v>
      </c>
      <c r="C165" s="4" t="s">
        <v>63</v>
      </c>
      <c r="D165" s="4" t="s">
        <v>64</v>
      </c>
      <c r="E165" s="4" t="s">
        <v>5</v>
      </c>
      <c r="F165" s="6">
        <v>42249.1</v>
      </c>
      <c r="G165" s="4" t="s">
        <v>22</v>
      </c>
      <c r="H165" s="9">
        <v>15000</v>
      </c>
      <c r="I165" s="8" cm="1">
        <f t="array" ref="I165">IF(F165 &gt;= H165,F165 * commission, 0)</f>
        <v>4224.91</v>
      </c>
    </row>
    <row r="166" spans="1:9">
      <c r="A166" s="5">
        <v>44348</v>
      </c>
      <c r="B166" s="4" t="s">
        <v>29</v>
      </c>
      <c r="C166" s="4" t="s">
        <v>30</v>
      </c>
      <c r="D166" s="4" t="s">
        <v>31</v>
      </c>
      <c r="E166" s="4" t="s">
        <v>4</v>
      </c>
      <c r="F166" s="6">
        <v>2070.2999999999997</v>
      </c>
      <c r="G166" s="4" t="s">
        <v>27</v>
      </c>
      <c r="H166" s="9">
        <v>15000</v>
      </c>
      <c r="I166" s="8" cm="1">
        <f t="array" ref="I166">IF(F166 &gt;= H166,F166 * commission, 0)</f>
        <v>0</v>
      </c>
    </row>
    <row r="167" spans="1:9">
      <c r="A167" s="5">
        <v>44348</v>
      </c>
      <c r="B167" s="4" t="s">
        <v>19</v>
      </c>
      <c r="C167" s="4" t="s">
        <v>20</v>
      </c>
      <c r="D167" s="4" t="s">
        <v>21</v>
      </c>
      <c r="E167" s="4" t="s">
        <v>4</v>
      </c>
      <c r="F167" s="6">
        <v>9499</v>
      </c>
      <c r="G167" s="4" t="s">
        <v>22</v>
      </c>
      <c r="H167" s="9">
        <v>15000</v>
      </c>
      <c r="I167" s="8" cm="1">
        <f t="array" ref="I167">IF(F167 &gt;= H167,F167 * commission, 0)</f>
        <v>0</v>
      </c>
    </row>
    <row r="168" spans="1:9">
      <c r="A168" s="5">
        <v>44348</v>
      </c>
      <c r="B168" s="4" t="s">
        <v>19</v>
      </c>
      <c r="C168" s="4" t="s">
        <v>20</v>
      </c>
      <c r="D168" s="4" t="s">
        <v>21</v>
      </c>
      <c r="E168" s="4" t="s">
        <v>4</v>
      </c>
      <c r="F168" s="6">
        <v>17904.7</v>
      </c>
      <c r="G168" s="4" t="s">
        <v>28</v>
      </c>
      <c r="H168" s="9">
        <v>15000</v>
      </c>
      <c r="I168" s="8" cm="1">
        <f t="array" ref="I168">IF(F168 &gt;= H168,F168 * commission, 0)</f>
        <v>1790.4700000000003</v>
      </c>
    </row>
    <row r="169" spans="1:9">
      <c r="A169" s="5">
        <v>44348</v>
      </c>
      <c r="B169" s="4" t="s">
        <v>19</v>
      </c>
      <c r="C169" s="4" t="s">
        <v>20</v>
      </c>
      <c r="D169" s="4" t="s">
        <v>21</v>
      </c>
      <c r="E169" s="4" t="s">
        <v>4</v>
      </c>
      <c r="F169" s="6">
        <v>18878.399999999998</v>
      </c>
      <c r="G169" s="4" t="s">
        <v>22</v>
      </c>
      <c r="H169" s="9">
        <v>15000</v>
      </c>
      <c r="I169" s="8" cm="1">
        <f t="array" ref="I169">IF(F169 &gt;= H169,F169 * commission, 0)</f>
        <v>1887.84</v>
      </c>
    </row>
    <row r="170" spans="1:9">
      <c r="A170" s="5">
        <v>44348</v>
      </c>
      <c r="B170" s="4" t="s">
        <v>19</v>
      </c>
      <c r="C170" s="4" t="s">
        <v>20</v>
      </c>
      <c r="D170" s="4" t="s">
        <v>21</v>
      </c>
      <c r="E170" s="4" t="s">
        <v>4</v>
      </c>
      <c r="F170" s="6">
        <v>23445</v>
      </c>
      <c r="G170" s="4" t="s">
        <v>22</v>
      </c>
      <c r="H170" s="9">
        <v>15000</v>
      </c>
      <c r="I170" s="8" cm="1">
        <f t="array" ref="I170">IF(F170 &gt;= H170,F170 * commission, 0)</f>
        <v>2344.5</v>
      </c>
    </row>
    <row r="171" spans="1:9">
      <c r="A171" s="5">
        <v>44348</v>
      </c>
      <c r="B171" s="4" t="s">
        <v>19</v>
      </c>
      <c r="C171" s="4" t="s">
        <v>20</v>
      </c>
      <c r="D171" s="4" t="s">
        <v>21</v>
      </c>
      <c r="E171" s="4" t="s">
        <v>4</v>
      </c>
      <c r="F171" s="6">
        <v>34162</v>
      </c>
      <c r="G171" s="4" t="s">
        <v>22</v>
      </c>
      <c r="H171" s="9">
        <v>15000</v>
      </c>
      <c r="I171" s="8" cm="1">
        <f t="array" ref="I171">IF(F171 &gt;= H171,F171 * commission, 0)</f>
        <v>3416.2000000000003</v>
      </c>
    </row>
    <row r="172" spans="1:9">
      <c r="A172" s="5">
        <v>44348</v>
      </c>
      <c r="B172" s="4" t="s">
        <v>80</v>
      </c>
      <c r="C172" s="4" t="s">
        <v>81</v>
      </c>
      <c r="D172" s="4" t="s">
        <v>82</v>
      </c>
      <c r="E172" s="4" t="s">
        <v>2</v>
      </c>
      <c r="F172" s="6">
        <v>7581.9999999999991</v>
      </c>
      <c r="G172" s="4" t="s">
        <v>27</v>
      </c>
      <c r="H172" s="9">
        <v>15000</v>
      </c>
      <c r="I172" s="8" cm="1">
        <f t="array" ref="I172">IF(F172 &gt;= H172,F172 * commission, 0)</f>
        <v>0</v>
      </c>
    </row>
    <row r="173" spans="1:9">
      <c r="A173" s="5">
        <v>44348</v>
      </c>
      <c r="B173" s="4" t="s">
        <v>35</v>
      </c>
      <c r="C173" s="4" t="s">
        <v>36</v>
      </c>
      <c r="D173" s="4" t="s">
        <v>37</v>
      </c>
      <c r="E173" s="4" t="s">
        <v>2</v>
      </c>
      <c r="F173" s="6">
        <v>8721.6</v>
      </c>
      <c r="G173" s="4" t="s">
        <v>28</v>
      </c>
      <c r="H173" s="9">
        <v>15000</v>
      </c>
      <c r="I173" s="8" cm="1">
        <f t="array" ref="I173">IF(F173 &gt;= H173,F173 * commission, 0)</f>
        <v>0</v>
      </c>
    </row>
    <row r="174" spans="1:9">
      <c r="A174" s="5">
        <v>44348</v>
      </c>
      <c r="B174" s="4" t="s">
        <v>80</v>
      </c>
      <c r="C174" s="4" t="s">
        <v>81</v>
      </c>
      <c r="D174" s="4" t="s">
        <v>82</v>
      </c>
      <c r="E174" s="4" t="s">
        <v>2</v>
      </c>
      <c r="F174" s="6">
        <v>10500</v>
      </c>
      <c r="G174" s="4" t="s">
        <v>22</v>
      </c>
      <c r="H174" s="9">
        <v>15000</v>
      </c>
      <c r="I174" s="8" cm="1">
        <f t="array" ref="I174">IF(F174 &gt;= H174,F174 * commission, 0)</f>
        <v>0</v>
      </c>
    </row>
    <row r="175" spans="1:9">
      <c r="A175" s="5">
        <v>44348</v>
      </c>
      <c r="B175" s="4" t="s">
        <v>38</v>
      </c>
      <c r="C175" s="4" t="s">
        <v>39</v>
      </c>
      <c r="D175" s="4" t="s">
        <v>40</v>
      </c>
      <c r="E175" s="4" t="s">
        <v>2</v>
      </c>
      <c r="F175" s="6">
        <v>13466.999999999998</v>
      </c>
      <c r="G175" s="4" t="s">
        <v>28</v>
      </c>
      <c r="H175" s="9">
        <v>15000</v>
      </c>
      <c r="I175" s="8" cm="1">
        <f t="array" ref="I175">IF(F175 &gt;= H175,F175 * commission, 0)</f>
        <v>0</v>
      </c>
    </row>
    <row r="176" spans="1:9">
      <c r="A176" s="5">
        <v>44348</v>
      </c>
      <c r="B176" s="4" t="s">
        <v>80</v>
      </c>
      <c r="C176" s="4" t="s">
        <v>81</v>
      </c>
      <c r="D176" s="4" t="s">
        <v>82</v>
      </c>
      <c r="E176" s="4" t="s">
        <v>2</v>
      </c>
      <c r="F176" s="6">
        <v>16036.8</v>
      </c>
      <c r="G176" s="4" t="s">
        <v>22</v>
      </c>
      <c r="H176" s="9">
        <v>15000</v>
      </c>
      <c r="I176" s="8" cm="1">
        <f t="array" ref="I176">IF(F176 &gt;= H176,F176 * commission, 0)</f>
        <v>1603.68</v>
      </c>
    </row>
    <row r="177" spans="1:9">
      <c r="A177" s="5">
        <v>44348</v>
      </c>
      <c r="B177" s="4" t="s">
        <v>77</v>
      </c>
      <c r="C177" s="4" t="s">
        <v>78</v>
      </c>
      <c r="D177" s="4" t="s">
        <v>79</v>
      </c>
      <c r="E177" s="4" t="s">
        <v>2</v>
      </c>
      <c r="F177" s="6">
        <v>16846.8</v>
      </c>
      <c r="G177" s="4" t="s">
        <v>22</v>
      </c>
      <c r="H177" s="9">
        <v>15000</v>
      </c>
      <c r="I177" s="8" cm="1">
        <f t="array" ref="I177">IF(F177 &gt;= H177,F177 * commission, 0)</f>
        <v>1684.68</v>
      </c>
    </row>
    <row r="178" spans="1:9">
      <c r="A178" s="5">
        <v>44348</v>
      </c>
      <c r="B178" s="4" t="s">
        <v>50</v>
      </c>
      <c r="C178" s="4" t="s">
        <v>51</v>
      </c>
      <c r="D178" s="4" t="s">
        <v>52</v>
      </c>
      <c r="E178" s="4" t="s">
        <v>3</v>
      </c>
      <c r="F178" s="6">
        <v>6872.7999999999993</v>
      </c>
      <c r="G178" s="4" t="s">
        <v>27</v>
      </c>
      <c r="H178" s="9">
        <v>15000</v>
      </c>
      <c r="I178" s="8" cm="1">
        <f t="array" ref="I178">IF(F178 &gt;= H178,F178 * commission, 0)</f>
        <v>0</v>
      </c>
    </row>
    <row r="179" spans="1:9">
      <c r="A179" s="5">
        <v>44348</v>
      </c>
      <c r="B179" s="4" t="s">
        <v>47</v>
      </c>
      <c r="C179" s="4" t="s">
        <v>48</v>
      </c>
      <c r="D179" s="4" t="s">
        <v>49</v>
      </c>
      <c r="E179" s="4" t="s">
        <v>3</v>
      </c>
      <c r="F179" s="6">
        <v>8827</v>
      </c>
      <c r="G179" s="4" t="s">
        <v>28</v>
      </c>
      <c r="H179" s="9">
        <v>15000</v>
      </c>
      <c r="I179" s="8" cm="1">
        <f t="array" ref="I179">IF(F179 &gt;= H179,F179 * commission, 0)</f>
        <v>0</v>
      </c>
    </row>
    <row r="180" spans="1:9">
      <c r="A180" s="5">
        <v>44348</v>
      </c>
      <c r="B180" s="4" t="s">
        <v>71</v>
      </c>
      <c r="C180" s="4" t="s">
        <v>72</v>
      </c>
      <c r="D180" s="4" t="s">
        <v>73</v>
      </c>
      <c r="E180" s="4" t="s">
        <v>3</v>
      </c>
      <c r="F180" s="6">
        <v>9836.8000000000011</v>
      </c>
      <c r="G180" s="4" t="s">
        <v>27</v>
      </c>
      <c r="H180" s="9">
        <v>15000</v>
      </c>
      <c r="I180" s="8" cm="1">
        <f t="array" ref="I180">IF(F180 &gt;= H180,F180 * commission, 0)</f>
        <v>0</v>
      </c>
    </row>
    <row r="181" spans="1:9">
      <c r="A181" s="5">
        <v>44348</v>
      </c>
      <c r="B181" s="4" t="s">
        <v>47</v>
      </c>
      <c r="C181" s="4" t="s">
        <v>48</v>
      </c>
      <c r="D181" s="4" t="s">
        <v>49</v>
      </c>
      <c r="E181" s="4" t="s">
        <v>3</v>
      </c>
      <c r="F181" s="6">
        <v>10032</v>
      </c>
      <c r="G181" s="4" t="s">
        <v>27</v>
      </c>
      <c r="H181" s="9">
        <v>15000</v>
      </c>
      <c r="I181" s="8" cm="1">
        <f t="array" ref="I181">IF(F181 &gt;= H181,F181 * commission, 0)</f>
        <v>0</v>
      </c>
    </row>
    <row r="182" spans="1:9">
      <c r="A182" s="5">
        <v>44348</v>
      </c>
      <c r="B182" s="4" t="s">
        <v>47</v>
      </c>
      <c r="C182" s="4" t="s">
        <v>48</v>
      </c>
      <c r="D182" s="4" t="s">
        <v>49</v>
      </c>
      <c r="E182" s="4" t="s">
        <v>3</v>
      </c>
      <c r="F182" s="6">
        <v>15953.599999999999</v>
      </c>
      <c r="G182" s="4" t="s">
        <v>22</v>
      </c>
      <c r="H182" s="9">
        <v>15000</v>
      </c>
      <c r="I182" s="8" cm="1">
        <f t="array" ref="I182">IF(F182 &gt;= H182,F182 * commission, 0)</f>
        <v>1595.36</v>
      </c>
    </row>
    <row r="183" spans="1:9">
      <c r="A183" s="5">
        <v>44348</v>
      </c>
      <c r="B183" s="4" t="s">
        <v>50</v>
      </c>
      <c r="C183" s="4" t="s">
        <v>51</v>
      </c>
      <c r="D183" s="4" t="s">
        <v>52</v>
      </c>
      <c r="E183" s="4" t="s">
        <v>3</v>
      </c>
      <c r="F183" s="6">
        <v>25560</v>
      </c>
      <c r="G183" s="4" t="s">
        <v>27</v>
      </c>
      <c r="H183" s="9">
        <v>15000</v>
      </c>
      <c r="I183" s="8" cm="1">
        <f t="array" ref="I183">IF(F183 &gt;= H183,F183 * commission, 0)</f>
        <v>2556</v>
      </c>
    </row>
    <row r="184" spans="1:9">
      <c r="A184" s="5">
        <v>44348</v>
      </c>
      <c r="B184" s="4" t="s">
        <v>47</v>
      </c>
      <c r="C184" s="4" t="s">
        <v>48</v>
      </c>
      <c r="D184" s="4" t="s">
        <v>49</v>
      </c>
      <c r="E184" s="4" t="s">
        <v>3</v>
      </c>
      <c r="F184" s="6">
        <v>35695</v>
      </c>
      <c r="G184" s="4" t="s">
        <v>22</v>
      </c>
      <c r="H184" s="9">
        <v>15000</v>
      </c>
      <c r="I184" s="8" cm="1">
        <f t="array" ref="I184">IF(F184 &gt;= H184,F184 * commission, 0)</f>
        <v>3569.5</v>
      </c>
    </row>
    <row r="185" spans="1:9">
      <c r="A185" s="5">
        <v>44348</v>
      </c>
      <c r="B185" s="4" t="s">
        <v>56</v>
      </c>
      <c r="C185" s="4" t="s">
        <v>57</v>
      </c>
      <c r="D185" s="4" t="s">
        <v>58</v>
      </c>
      <c r="E185" s="4" t="s">
        <v>5</v>
      </c>
      <c r="F185" s="6">
        <v>9574.7999999999993</v>
      </c>
      <c r="G185" s="4" t="s">
        <v>22</v>
      </c>
      <c r="H185" s="9">
        <v>15000</v>
      </c>
      <c r="I185" s="8" cm="1">
        <f t="array" ref="I185">IF(F185 &gt;= H185,F185 * commission, 0)</f>
        <v>0</v>
      </c>
    </row>
    <row r="186" spans="1:9">
      <c r="A186" s="5">
        <v>44348</v>
      </c>
      <c r="B186" s="4" t="s">
        <v>56</v>
      </c>
      <c r="C186" s="4" t="s">
        <v>57</v>
      </c>
      <c r="D186" s="4" t="s">
        <v>58</v>
      </c>
      <c r="E186" s="4" t="s">
        <v>5</v>
      </c>
      <c r="F186" s="6">
        <v>14301.6</v>
      </c>
      <c r="G186" s="4" t="s">
        <v>22</v>
      </c>
      <c r="H186" s="9">
        <v>15000</v>
      </c>
      <c r="I186" s="8" cm="1">
        <f t="array" ref="I186">IF(F186 &gt;= H186,F186 * commission, 0)</f>
        <v>0</v>
      </c>
    </row>
    <row r="187" spans="1:9">
      <c r="A187" s="5">
        <v>44348</v>
      </c>
      <c r="B187" s="4" t="s">
        <v>74</v>
      </c>
      <c r="C187" s="4" t="s">
        <v>75</v>
      </c>
      <c r="D187" s="4" t="s">
        <v>76</v>
      </c>
      <c r="E187" s="4" t="s">
        <v>5</v>
      </c>
      <c r="F187" s="6">
        <v>15061.2</v>
      </c>
      <c r="G187" s="4" t="s">
        <v>22</v>
      </c>
      <c r="H187" s="9">
        <v>15000</v>
      </c>
      <c r="I187" s="8" cm="1">
        <f t="array" ref="I187">IF(F187 &gt;= H187,F187 * commission, 0)</f>
        <v>1506.1200000000001</v>
      </c>
    </row>
    <row r="188" spans="1:9">
      <c r="A188" s="5">
        <v>44348</v>
      </c>
      <c r="B188" s="4" t="s">
        <v>59</v>
      </c>
      <c r="C188" s="4" t="s">
        <v>60</v>
      </c>
      <c r="D188" s="4" t="s">
        <v>61</v>
      </c>
      <c r="E188" s="4" t="s">
        <v>5</v>
      </c>
      <c r="F188" s="6">
        <v>17262</v>
      </c>
      <c r="G188" s="4" t="s">
        <v>22</v>
      </c>
      <c r="H188" s="9">
        <v>15000</v>
      </c>
      <c r="I188" s="8" cm="1">
        <f t="array" ref="I188">IF(F188 &gt;= H188,F188 * commission, 0)</f>
        <v>1726.2</v>
      </c>
    </row>
    <row r="189" spans="1:9">
      <c r="A189" s="5">
        <v>44348</v>
      </c>
      <c r="B189" s="4" t="s">
        <v>62</v>
      </c>
      <c r="C189" s="4" t="s">
        <v>63</v>
      </c>
      <c r="D189" s="4" t="s">
        <v>64</v>
      </c>
      <c r="E189" s="4" t="s">
        <v>5</v>
      </c>
      <c r="F189" s="6">
        <v>37192.5</v>
      </c>
      <c r="G189" s="4" t="s">
        <v>28</v>
      </c>
      <c r="H189" s="9">
        <v>15000</v>
      </c>
      <c r="I189" s="8" cm="1">
        <f t="array" ref="I189">IF(F189 &gt;= H189,F189 * commission, 0)</f>
        <v>3719.25</v>
      </c>
    </row>
    <row r="190" spans="1:9">
      <c r="A190" s="5">
        <v>44348</v>
      </c>
      <c r="B190" s="4" t="s">
        <v>74</v>
      </c>
      <c r="C190" s="4" t="s">
        <v>75</v>
      </c>
      <c r="D190" s="4" t="s">
        <v>76</v>
      </c>
      <c r="E190" s="4" t="s">
        <v>5</v>
      </c>
      <c r="F190" s="6">
        <v>39653.9</v>
      </c>
      <c r="G190" s="4" t="s">
        <v>28</v>
      </c>
      <c r="H190" s="9">
        <v>15000</v>
      </c>
      <c r="I190" s="8" cm="1">
        <f t="array" ref="I190">IF(F190 &gt;= H190,F190 * commission, 0)</f>
        <v>3965.3900000000003</v>
      </c>
    </row>
    <row r="191" spans="1:9">
      <c r="A191" s="5">
        <v>44378</v>
      </c>
      <c r="B191" s="4" t="s">
        <v>19</v>
      </c>
      <c r="C191" s="4" t="s">
        <v>20</v>
      </c>
      <c r="D191" s="4" t="s">
        <v>21</v>
      </c>
      <c r="E191" s="4" t="s">
        <v>4</v>
      </c>
      <c r="F191" s="6">
        <v>3055.2</v>
      </c>
      <c r="G191" s="4" t="s">
        <v>27</v>
      </c>
      <c r="H191" s="9">
        <v>15000</v>
      </c>
      <c r="I191" s="8" cm="1">
        <f t="array" ref="I191">IF(F191 &gt;= H191,F191 * commission, 0)</f>
        <v>0</v>
      </c>
    </row>
    <row r="192" spans="1:9">
      <c r="A192" s="5">
        <v>44378</v>
      </c>
      <c r="B192" s="4" t="s">
        <v>29</v>
      </c>
      <c r="C192" s="4" t="s">
        <v>30</v>
      </c>
      <c r="D192" s="4" t="s">
        <v>31</v>
      </c>
      <c r="E192" s="4" t="s">
        <v>4</v>
      </c>
      <c r="F192" s="6">
        <v>4843.4000000000005</v>
      </c>
      <c r="G192" s="4" t="s">
        <v>28</v>
      </c>
      <c r="H192" s="9">
        <v>15000</v>
      </c>
      <c r="I192" s="8" cm="1">
        <f t="array" ref="I192">IF(F192 &gt;= H192,F192 * commission, 0)</f>
        <v>0</v>
      </c>
    </row>
    <row r="193" spans="1:9">
      <c r="A193" s="5">
        <v>44378</v>
      </c>
      <c r="B193" s="4" t="s">
        <v>32</v>
      </c>
      <c r="C193" s="4" t="s">
        <v>33</v>
      </c>
      <c r="D193" s="4" t="s">
        <v>34</v>
      </c>
      <c r="E193" s="4" t="s">
        <v>4</v>
      </c>
      <c r="F193" s="6">
        <v>5215.2</v>
      </c>
      <c r="G193" s="4" t="s">
        <v>28</v>
      </c>
      <c r="H193" s="9">
        <v>15000</v>
      </c>
      <c r="I193" s="8" cm="1">
        <f t="array" ref="I193">IF(F193 &gt;= H193,F193 * commission, 0)</f>
        <v>0</v>
      </c>
    </row>
    <row r="194" spans="1:9">
      <c r="A194" s="5">
        <v>44378</v>
      </c>
      <c r="B194" s="4" t="s">
        <v>19</v>
      </c>
      <c r="C194" s="4" t="s">
        <v>20</v>
      </c>
      <c r="D194" s="4" t="s">
        <v>21</v>
      </c>
      <c r="E194" s="4" t="s">
        <v>4</v>
      </c>
      <c r="F194" s="6">
        <v>7199.7000000000007</v>
      </c>
      <c r="G194" s="4" t="s">
        <v>28</v>
      </c>
      <c r="H194" s="9">
        <v>15000</v>
      </c>
      <c r="I194" s="8" cm="1">
        <f t="array" ref="I194">IF(F194 &gt;= H194,F194 * commission, 0)</f>
        <v>0</v>
      </c>
    </row>
    <row r="195" spans="1:9">
      <c r="A195" s="5">
        <v>44378</v>
      </c>
      <c r="B195" s="4" t="s">
        <v>24</v>
      </c>
      <c r="C195" s="4" t="s">
        <v>25</v>
      </c>
      <c r="D195" s="4" t="s">
        <v>26</v>
      </c>
      <c r="E195" s="4" t="s">
        <v>4</v>
      </c>
      <c r="F195" s="6">
        <v>14670</v>
      </c>
      <c r="G195" s="4" t="s">
        <v>27</v>
      </c>
      <c r="H195" s="9">
        <v>15000</v>
      </c>
      <c r="I195" s="8" cm="1">
        <f t="array" ref="I195">IF(F195 &gt;= H195,F195 * commission, 0)</f>
        <v>0</v>
      </c>
    </row>
    <row r="196" spans="1:9">
      <c r="A196" s="5">
        <v>44378</v>
      </c>
      <c r="B196" s="4" t="s">
        <v>29</v>
      </c>
      <c r="C196" s="4" t="s">
        <v>30</v>
      </c>
      <c r="D196" s="4" t="s">
        <v>31</v>
      </c>
      <c r="E196" s="4" t="s">
        <v>4</v>
      </c>
      <c r="F196" s="6">
        <v>16614.400000000001</v>
      </c>
      <c r="G196" s="4" t="s">
        <v>27</v>
      </c>
      <c r="H196" s="9">
        <v>15000</v>
      </c>
      <c r="I196" s="8" cm="1">
        <f t="array" ref="I196">IF(F196 &gt;= H196,F196 * commission, 0)</f>
        <v>1661.4400000000003</v>
      </c>
    </row>
    <row r="197" spans="1:9">
      <c r="A197" s="5">
        <v>44378</v>
      </c>
      <c r="B197" s="4" t="s">
        <v>24</v>
      </c>
      <c r="C197" s="4" t="s">
        <v>25</v>
      </c>
      <c r="D197" s="4" t="s">
        <v>26</v>
      </c>
      <c r="E197" s="4" t="s">
        <v>4</v>
      </c>
      <c r="F197" s="6">
        <v>20076.7</v>
      </c>
      <c r="G197" s="4" t="s">
        <v>28</v>
      </c>
      <c r="H197" s="9">
        <v>15000</v>
      </c>
      <c r="I197" s="8" cm="1">
        <f t="array" ref="I197">IF(F197 &gt;= H197,F197 * commission, 0)</f>
        <v>2007.67</v>
      </c>
    </row>
    <row r="198" spans="1:9">
      <c r="A198" s="5">
        <v>44378</v>
      </c>
      <c r="B198" s="4" t="s">
        <v>19</v>
      </c>
      <c r="C198" s="4" t="s">
        <v>20</v>
      </c>
      <c r="D198" s="4" t="s">
        <v>21</v>
      </c>
      <c r="E198" s="4" t="s">
        <v>4</v>
      </c>
      <c r="F198" s="6">
        <v>21482.999999999996</v>
      </c>
      <c r="G198" s="4" t="s">
        <v>28</v>
      </c>
      <c r="H198" s="9">
        <v>15000</v>
      </c>
      <c r="I198" s="8" cm="1">
        <f t="array" ref="I198">IF(F198 &gt;= H198,F198 * commission, 0)</f>
        <v>2148.2999999999997</v>
      </c>
    </row>
    <row r="199" spans="1:9">
      <c r="A199" s="5">
        <v>44378</v>
      </c>
      <c r="B199" s="4" t="s">
        <v>65</v>
      </c>
      <c r="C199" s="4" t="s">
        <v>66</v>
      </c>
      <c r="D199" s="4" t="s">
        <v>67</v>
      </c>
      <c r="E199" s="4" t="s">
        <v>4</v>
      </c>
      <c r="F199" s="6">
        <v>30776.799999999999</v>
      </c>
      <c r="G199" s="4" t="s">
        <v>27</v>
      </c>
      <c r="H199" s="9">
        <v>15000</v>
      </c>
      <c r="I199" s="8" cm="1">
        <f t="array" ref="I199">IF(F199 &gt;= H199,F199 * commission, 0)</f>
        <v>3077.6800000000003</v>
      </c>
    </row>
    <row r="200" spans="1:9">
      <c r="A200" s="5">
        <v>44378</v>
      </c>
      <c r="B200" s="4" t="s">
        <v>38</v>
      </c>
      <c r="C200" s="4" t="s">
        <v>39</v>
      </c>
      <c r="D200" s="4" t="s">
        <v>40</v>
      </c>
      <c r="E200" s="4" t="s">
        <v>2</v>
      </c>
      <c r="F200" s="6">
        <v>15957.2</v>
      </c>
      <c r="G200" s="4" t="s">
        <v>28</v>
      </c>
      <c r="H200" s="9">
        <v>15000</v>
      </c>
      <c r="I200" s="8" cm="1">
        <f t="array" ref="I200">IF(F200 &gt;= H200,F200 * commission, 0)</f>
        <v>1595.7200000000003</v>
      </c>
    </row>
    <row r="201" spans="1:9">
      <c r="A201" s="5">
        <v>44378</v>
      </c>
      <c r="B201" s="4" t="s">
        <v>68</v>
      </c>
      <c r="C201" s="4" t="s">
        <v>69</v>
      </c>
      <c r="D201" s="4" t="s">
        <v>70</v>
      </c>
      <c r="E201" s="4" t="s">
        <v>2</v>
      </c>
      <c r="F201" s="6">
        <v>16492</v>
      </c>
      <c r="G201" s="4" t="s">
        <v>27</v>
      </c>
      <c r="H201" s="9">
        <v>15000</v>
      </c>
      <c r="I201" s="8" cm="1">
        <f t="array" ref="I201">IF(F201 &gt;= H201,F201 * commission, 0)</f>
        <v>1649.2</v>
      </c>
    </row>
    <row r="202" spans="1:9">
      <c r="A202" s="5">
        <v>44378</v>
      </c>
      <c r="B202" s="4" t="s">
        <v>77</v>
      </c>
      <c r="C202" s="4" t="s">
        <v>78</v>
      </c>
      <c r="D202" s="4" t="s">
        <v>79</v>
      </c>
      <c r="E202" s="4" t="s">
        <v>2</v>
      </c>
      <c r="F202" s="6">
        <v>21295.4</v>
      </c>
      <c r="G202" s="4" t="s">
        <v>27</v>
      </c>
      <c r="H202" s="9">
        <v>15000</v>
      </c>
      <c r="I202" s="8" cm="1">
        <f t="array" ref="I202">IF(F202 &gt;= H202,F202 * commission, 0)</f>
        <v>2129.5400000000004</v>
      </c>
    </row>
    <row r="203" spans="1:9">
      <c r="A203" s="5">
        <v>44378</v>
      </c>
      <c r="B203" s="4" t="s">
        <v>35</v>
      </c>
      <c r="C203" s="4" t="s">
        <v>36</v>
      </c>
      <c r="D203" s="4" t="s">
        <v>37</v>
      </c>
      <c r="E203" s="4" t="s">
        <v>2</v>
      </c>
      <c r="F203" s="6">
        <v>25518.800000000003</v>
      </c>
      <c r="G203" s="4" t="s">
        <v>27</v>
      </c>
      <c r="H203" s="9">
        <v>15000</v>
      </c>
      <c r="I203" s="8" cm="1">
        <f t="array" ref="I203">IF(F203 &gt;= H203,F203 * commission, 0)</f>
        <v>2551.8800000000006</v>
      </c>
    </row>
    <row r="204" spans="1:9">
      <c r="A204" s="5">
        <v>44378</v>
      </c>
      <c r="B204" s="4" t="s">
        <v>35</v>
      </c>
      <c r="C204" s="4" t="s">
        <v>36</v>
      </c>
      <c r="D204" s="4" t="s">
        <v>37</v>
      </c>
      <c r="E204" s="4" t="s">
        <v>2</v>
      </c>
      <c r="F204" s="6">
        <v>27676.6</v>
      </c>
      <c r="G204" s="4" t="s">
        <v>22</v>
      </c>
      <c r="H204" s="9">
        <v>15000</v>
      </c>
      <c r="I204" s="8" cm="1">
        <f t="array" ref="I204">IF(F204 &gt;= H204,F204 * commission, 0)</f>
        <v>2767.66</v>
      </c>
    </row>
    <row r="205" spans="1:9">
      <c r="A205" s="5">
        <v>44378</v>
      </c>
      <c r="B205" s="4" t="s">
        <v>77</v>
      </c>
      <c r="C205" s="4" t="s">
        <v>78</v>
      </c>
      <c r="D205" s="4" t="s">
        <v>79</v>
      </c>
      <c r="E205" s="4" t="s">
        <v>2</v>
      </c>
      <c r="F205" s="6">
        <v>28395</v>
      </c>
      <c r="G205" s="4" t="s">
        <v>28</v>
      </c>
      <c r="H205" s="9">
        <v>15000</v>
      </c>
      <c r="I205" s="8" cm="1">
        <f t="array" ref="I205">IF(F205 &gt;= H205,F205 * commission, 0)</f>
        <v>2839.5</v>
      </c>
    </row>
    <row r="206" spans="1:9">
      <c r="A206" s="5">
        <v>44378</v>
      </c>
      <c r="B206" s="4" t="s">
        <v>68</v>
      </c>
      <c r="C206" s="4" t="s">
        <v>69</v>
      </c>
      <c r="D206" s="4" t="s">
        <v>70</v>
      </c>
      <c r="E206" s="4" t="s">
        <v>2</v>
      </c>
      <c r="F206" s="6">
        <v>41826.400000000001</v>
      </c>
      <c r="G206" s="4" t="s">
        <v>28</v>
      </c>
      <c r="H206" s="9">
        <v>15000</v>
      </c>
      <c r="I206" s="8" cm="1">
        <f t="array" ref="I206">IF(F206 &gt;= H206,F206 * commission, 0)</f>
        <v>4182.6400000000003</v>
      </c>
    </row>
    <row r="207" spans="1:9">
      <c r="A207" s="5">
        <v>44378</v>
      </c>
      <c r="B207" s="4" t="s">
        <v>68</v>
      </c>
      <c r="C207" s="4" t="s">
        <v>69</v>
      </c>
      <c r="D207" s="4" t="s">
        <v>70</v>
      </c>
      <c r="E207" s="4" t="s">
        <v>2</v>
      </c>
      <c r="F207" s="6">
        <v>49055.999999999993</v>
      </c>
      <c r="G207" s="4" t="s">
        <v>27</v>
      </c>
      <c r="H207" s="9">
        <v>15000</v>
      </c>
      <c r="I207" s="8" cm="1">
        <f t="array" ref="I207">IF(F207 &gt;= H207,F207 * commission, 0)</f>
        <v>4905.5999999999995</v>
      </c>
    </row>
    <row r="208" spans="1:9">
      <c r="A208" s="5">
        <v>44378</v>
      </c>
      <c r="B208" s="4" t="s">
        <v>71</v>
      </c>
      <c r="C208" s="4" t="s">
        <v>72</v>
      </c>
      <c r="D208" s="4" t="s">
        <v>73</v>
      </c>
      <c r="E208" s="4" t="s">
        <v>3</v>
      </c>
      <c r="F208" s="6">
        <v>9405.2999999999993</v>
      </c>
      <c r="G208" s="4" t="s">
        <v>22</v>
      </c>
      <c r="H208" s="9">
        <v>15000</v>
      </c>
      <c r="I208" s="8" cm="1">
        <f t="array" ref="I208">IF(F208 &gt;= H208,F208 * commission, 0)</f>
        <v>0</v>
      </c>
    </row>
    <row r="209" spans="1:9">
      <c r="A209" s="5">
        <v>44378</v>
      </c>
      <c r="B209" s="4" t="s">
        <v>50</v>
      </c>
      <c r="C209" s="4" t="s">
        <v>51</v>
      </c>
      <c r="D209" s="4" t="s">
        <v>52</v>
      </c>
      <c r="E209" s="4" t="s">
        <v>3</v>
      </c>
      <c r="F209" s="6">
        <v>9704.1999999999989</v>
      </c>
      <c r="G209" s="4" t="s">
        <v>28</v>
      </c>
      <c r="H209" s="9">
        <v>15000</v>
      </c>
      <c r="I209" s="8" cm="1">
        <f t="array" ref="I209">IF(F209 &gt;= H209,F209 * commission, 0)</f>
        <v>0</v>
      </c>
    </row>
    <row r="210" spans="1:9">
      <c r="A210" s="5">
        <v>44378</v>
      </c>
      <c r="B210" s="4" t="s">
        <v>71</v>
      </c>
      <c r="C210" s="4" t="s">
        <v>72</v>
      </c>
      <c r="D210" s="4" t="s">
        <v>73</v>
      </c>
      <c r="E210" s="4" t="s">
        <v>3</v>
      </c>
      <c r="F210" s="6">
        <v>13674</v>
      </c>
      <c r="G210" s="4" t="s">
        <v>22</v>
      </c>
      <c r="H210" s="9">
        <v>15000</v>
      </c>
      <c r="I210" s="8" cm="1">
        <f t="array" ref="I210">IF(F210 &gt;= H210,F210 * commission, 0)</f>
        <v>0</v>
      </c>
    </row>
    <row r="211" spans="1:9">
      <c r="A211" s="5">
        <v>44378</v>
      </c>
      <c r="B211" s="4" t="s">
        <v>47</v>
      </c>
      <c r="C211" s="4" t="s">
        <v>48</v>
      </c>
      <c r="D211" s="4" t="s">
        <v>49</v>
      </c>
      <c r="E211" s="4" t="s">
        <v>3</v>
      </c>
      <c r="F211" s="6">
        <v>21120.400000000001</v>
      </c>
      <c r="G211" s="4" t="s">
        <v>22</v>
      </c>
      <c r="H211" s="9">
        <v>15000</v>
      </c>
      <c r="I211" s="8" cm="1">
        <f t="array" ref="I211">IF(F211 &gt;= H211,F211 * commission, 0)</f>
        <v>2112.0400000000004</v>
      </c>
    </row>
    <row r="212" spans="1:9">
      <c r="A212" s="5">
        <v>44378</v>
      </c>
      <c r="B212" s="4" t="s">
        <v>47</v>
      </c>
      <c r="C212" s="4" t="s">
        <v>48</v>
      </c>
      <c r="D212" s="4" t="s">
        <v>49</v>
      </c>
      <c r="E212" s="4" t="s">
        <v>3</v>
      </c>
      <c r="F212" s="6">
        <v>23997.600000000002</v>
      </c>
      <c r="G212" s="4" t="s">
        <v>27</v>
      </c>
      <c r="H212" s="9">
        <v>15000</v>
      </c>
      <c r="I212" s="8" cm="1">
        <f t="array" ref="I212">IF(F212 &gt;= H212,F212 * commission, 0)</f>
        <v>2399.7600000000002</v>
      </c>
    </row>
    <row r="213" spans="1:9">
      <c r="A213" s="5">
        <v>44378</v>
      </c>
      <c r="B213" s="4" t="s">
        <v>47</v>
      </c>
      <c r="C213" s="4" t="s">
        <v>48</v>
      </c>
      <c r="D213" s="4" t="s">
        <v>49</v>
      </c>
      <c r="E213" s="4" t="s">
        <v>3</v>
      </c>
      <c r="F213" s="6">
        <v>35715.4</v>
      </c>
      <c r="G213" s="4" t="s">
        <v>28</v>
      </c>
      <c r="H213" s="9">
        <v>15000</v>
      </c>
      <c r="I213" s="8" cm="1">
        <f t="array" ref="I213">IF(F213 &gt;= H213,F213 * commission, 0)</f>
        <v>3571.5400000000004</v>
      </c>
    </row>
    <row r="214" spans="1:9">
      <c r="A214" s="5">
        <v>44378</v>
      </c>
      <c r="B214" s="4" t="s">
        <v>74</v>
      </c>
      <c r="C214" s="4" t="s">
        <v>75</v>
      </c>
      <c r="D214" s="4" t="s">
        <v>76</v>
      </c>
      <c r="E214" s="4" t="s">
        <v>5</v>
      </c>
      <c r="F214" s="6">
        <v>3465</v>
      </c>
      <c r="G214" s="4" t="s">
        <v>22</v>
      </c>
      <c r="H214" s="9">
        <v>15000</v>
      </c>
      <c r="I214" s="8" cm="1">
        <f t="array" ref="I214">IF(F214 &gt;= H214,F214 * commission, 0)</f>
        <v>0</v>
      </c>
    </row>
    <row r="215" spans="1:9">
      <c r="A215" s="5">
        <v>44378</v>
      </c>
      <c r="B215" s="4" t="s">
        <v>59</v>
      </c>
      <c r="C215" s="4" t="s">
        <v>60</v>
      </c>
      <c r="D215" s="4" t="s">
        <v>61</v>
      </c>
      <c r="E215" s="4" t="s">
        <v>5</v>
      </c>
      <c r="F215" s="6">
        <v>5332.7999999999993</v>
      </c>
      <c r="G215" s="4" t="s">
        <v>22</v>
      </c>
      <c r="H215" s="9">
        <v>15000</v>
      </c>
      <c r="I215" s="8" cm="1">
        <f t="array" ref="I215">IF(F215 &gt;= H215,F215 * commission, 0)</f>
        <v>0</v>
      </c>
    </row>
    <row r="216" spans="1:9">
      <c r="A216" s="5">
        <v>44378</v>
      </c>
      <c r="B216" s="4" t="s">
        <v>56</v>
      </c>
      <c r="C216" s="4" t="s">
        <v>57</v>
      </c>
      <c r="D216" s="4" t="s">
        <v>58</v>
      </c>
      <c r="E216" s="4" t="s">
        <v>5</v>
      </c>
      <c r="F216" s="6">
        <v>8065.5999999999995</v>
      </c>
      <c r="G216" s="4" t="s">
        <v>28</v>
      </c>
      <c r="H216" s="9">
        <v>15000</v>
      </c>
      <c r="I216" s="8" cm="1">
        <f t="array" ref="I216">IF(F216 &gt;= H216,F216 * commission, 0)</f>
        <v>0</v>
      </c>
    </row>
    <row r="217" spans="1:9">
      <c r="A217" s="5">
        <v>44378</v>
      </c>
      <c r="B217" s="4" t="s">
        <v>56</v>
      </c>
      <c r="C217" s="4" t="s">
        <v>57</v>
      </c>
      <c r="D217" s="4" t="s">
        <v>58</v>
      </c>
      <c r="E217" s="4" t="s">
        <v>5</v>
      </c>
      <c r="F217" s="6">
        <v>10067.200000000001</v>
      </c>
      <c r="G217" s="4" t="s">
        <v>28</v>
      </c>
      <c r="H217" s="9">
        <v>15000</v>
      </c>
      <c r="I217" s="8" cm="1">
        <f t="array" ref="I217">IF(F217 &gt;= H217,F217 * commission, 0)</f>
        <v>0</v>
      </c>
    </row>
    <row r="218" spans="1:9">
      <c r="A218" s="5">
        <v>44378</v>
      </c>
      <c r="B218" s="4" t="s">
        <v>56</v>
      </c>
      <c r="C218" s="4" t="s">
        <v>57</v>
      </c>
      <c r="D218" s="4" t="s">
        <v>58</v>
      </c>
      <c r="E218" s="4" t="s">
        <v>5</v>
      </c>
      <c r="F218" s="6">
        <v>10648.999999999998</v>
      </c>
      <c r="G218" s="4" t="s">
        <v>28</v>
      </c>
      <c r="H218" s="9">
        <v>15000</v>
      </c>
      <c r="I218" s="8" cm="1">
        <f t="array" ref="I218">IF(F218 &gt;= H218,F218 * commission, 0)</f>
        <v>0</v>
      </c>
    </row>
    <row r="219" spans="1:9">
      <c r="A219" s="5">
        <v>44378</v>
      </c>
      <c r="B219" s="4" t="s">
        <v>59</v>
      </c>
      <c r="C219" s="4" t="s">
        <v>60</v>
      </c>
      <c r="D219" s="4" t="s">
        <v>61</v>
      </c>
      <c r="E219" s="4" t="s">
        <v>5</v>
      </c>
      <c r="F219" s="6">
        <v>10679.400000000001</v>
      </c>
      <c r="G219" s="4" t="s">
        <v>28</v>
      </c>
      <c r="H219" s="9">
        <v>15000</v>
      </c>
      <c r="I219" s="8" cm="1">
        <f t="array" ref="I219">IF(F219 &gt;= H219,F219 * commission, 0)</f>
        <v>0</v>
      </c>
    </row>
    <row r="220" spans="1:9">
      <c r="A220" s="5">
        <v>44378</v>
      </c>
      <c r="B220" s="4" t="s">
        <v>62</v>
      </c>
      <c r="C220" s="4" t="s">
        <v>63</v>
      </c>
      <c r="D220" s="4" t="s">
        <v>64</v>
      </c>
      <c r="E220" s="4" t="s">
        <v>5</v>
      </c>
      <c r="F220" s="6">
        <v>11155.5</v>
      </c>
      <c r="G220" s="4" t="s">
        <v>27</v>
      </c>
      <c r="H220" s="9">
        <v>15000</v>
      </c>
      <c r="I220" s="8" cm="1">
        <f t="array" ref="I220">IF(F220 &gt;= H220,F220 * commission, 0)</f>
        <v>0</v>
      </c>
    </row>
    <row r="221" spans="1:9">
      <c r="A221" s="5">
        <v>44378</v>
      </c>
      <c r="B221" s="4" t="s">
        <v>56</v>
      </c>
      <c r="C221" s="4" t="s">
        <v>57</v>
      </c>
      <c r="D221" s="4" t="s">
        <v>58</v>
      </c>
      <c r="E221" s="4" t="s">
        <v>5</v>
      </c>
      <c r="F221" s="6">
        <v>11543</v>
      </c>
      <c r="G221" s="4" t="s">
        <v>27</v>
      </c>
      <c r="H221" s="9">
        <v>15000</v>
      </c>
      <c r="I221" s="8" cm="1">
        <f t="array" ref="I221">IF(F221 &gt;= H221,F221 * commission, 0)</f>
        <v>0</v>
      </c>
    </row>
    <row r="222" spans="1:9">
      <c r="A222" s="5">
        <v>44378</v>
      </c>
      <c r="B222" s="4" t="s">
        <v>56</v>
      </c>
      <c r="C222" s="4" t="s">
        <v>57</v>
      </c>
      <c r="D222" s="4" t="s">
        <v>58</v>
      </c>
      <c r="E222" s="4" t="s">
        <v>5</v>
      </c>
      <c r="F222" s="6">
        <v>15633.199999999999</v>
      </c>
      <c r="G222" s="4" t="s">
        <v>22</v>
      </c>
      <c r="H222" s="9">
        <v>15000</v>
      </c>
      <c r="I222" s="8" cm="1">
        <f t="array" ref="I222">IF(F222 &gt;= H222,F222 * commission, 0)</f>
        <v>1563.32</v>
      </c>
    </row>
    <row r="223" spans="1:9">
      <c r="A223" s="5">
        <v>44378</v>
      </c>
      <c r="B223" s="4" t="s">
        <v>56</v>
      </c>
      <c r="C223" s="4" t="s">
        <v>57</v>
      </c>
      <c r="D223" s="4" t="s">
        <v>58</v>
      </c>
      <c r="E223" s="4" t="s">
        <v>5</v>
      </c>
      <c r="F223" s="6">
        <v>20868.399999999998</v>
      </c>
      <c r="G223" s="4" t="s">
        <v>22</v>
      </c>
      <c r="H223" s="9">
        <v>15000</v>
      </c>
      <c r="I223" s="8" cm="1">
        <f t="array" ref="I223">IF(F223 &gt;= H223,F223 * commission, 0)</f>
        <v>2086.8399999999997</v>
      </c>
    </row>
    <row r="224" spans="1:9">
      <c r="A224" s="5">
        <v>44378</v>
      </c>
      <c r="B224" s="4" t="s">
        <v>56</v>
      </c>
      <c r="C224" s="4" t="s">
        <v>57</v>
      </c>
      <c r="D224" s="4" t="s">
        <v>58</v>
      </c>
      <c r="E224" s="4" t="s">
        <v>5</v>
      </c>
      <c r="F224" s="6">
        <v>24395.100000000002</v>
      </c>
      <c r="G224" s="4" t="s">
        <v>27</v>
      </c>
      <c r="H224" s="9">
        <v>15000</v>
      </c>
      <c r="I224" s="8" cm="1">
        <f t="array" ref="I224">IF(F224 &gt;= H224,F224 * commission, 0)</f>
        <v>2439.5100000000002</v>
      </c>
    </row>
    <row r="225" spans="1:9">
      <c r="A225" s="5">
        <v>44409</v>
      </c>
      <c r="B225" s="4" t="s">
        <v>24</v>
      </c>
      <c r="C225" s="4" t="s">
        <v>25</v>
      </c>
      <c r="D225" s="4" t="s">
        <v>26</v>
      </c>
      <c r="E225" s="4" t="s">
        <v>4</v>
      </c>
      <c r="F225" s="6">
        <v>8625</v>
      </c>
      <c r="G225" s="4" t="s">
        <v>22</v>
      </c>
      <c r="H225" s="9">
        <v>15000</v>
      </c>
      <c r="I225" s="8" cm="1">
        <f t="array" ref="I225">IF(F225 &gt;= H225,F225 * commission, 0)</f>
        <v>0</v>
      </c>
    </row>
    <row r="226" spans="1:9">
      <c r="A226" s="5">
        <v>44409</v>
      </c>
      <c r="B226" s="4" t="s">
        <v>19</v>
      </c>
      <c r="C226" s="4" t="s">
        <v>20</v>
      </c>
      <c r="D226" s="4" t="s">
        <v>21</v>
      </c>
      <c r="E226" s="4" t="s">
        <v>4</v>
      </c>
      <c r="F226" s="6">
        <v>9794</v>
      </c>
      <c r="G226" s="4" t="s">
        <v>22</v>
      </c>
      <c r="H226" s="9">
        <v>15000</v>
      </c>
      <c r="I226" s="8" cm="1">
        <f t="array" ref="I226">IF(F226 &gt;= H226,F226 * commission, 0)</f>
        <v>0</v>
      </c>
    </row>
    <row r="227" spans="1:9">
      <c r="A227" s="5">
        <v>44409</v>
      </c>
      <c r="B227" s="4" t="s">
        <v>24</v>
      </c>
      <c r="C227" s="4" t="s">
        <v>25</v>
      </c>
      <c r="D227" s="4" t="s">
        <v>26</v>
      </c>
      <c r="E227" s="4" t="s">
        <v>4</v>
      </c>
      <c r="F227" s="6">
        <v>16321.6</v>
      </c>
      <c r="G227" s="4" t="s">
        <v>27</v>
      </c>
      <c r="H227" s="9">
        <v>15000</v>
      </c>
      <c r="I227" s="8" cm="1">
        <f t="array" ref="I227">IF(F227 &gt;= H227,F227 * commission, 0)</f>
        <v>1632.16</v>
      </c>
    </row>
    <row r="228" spans="1:9">
      <c r="A228" s="5">
        <v>44409</v>
      </c>
      <c r="B228" s="4" t="s">
        <v>19</v>
      </c>
      <c r="C228" s="4" t="s">
        <v>20</v>
      </c>
      <c r="D228" s="4" t="s">
        <v>21</v>
      </c>
      <c r="E228" s="4" t="s">
        <v>4</v>
      </c>
      <c r="F228" s="6">
        <v>19678.8</v>
      </c>
      <c r="G228" s="4" t="s">
        <v>22</v>
      </c>
      <c r="H228" s="9">
        <v>15000</v>
      </c>
      <c r="I228" s="8" cm="1">
        <f t="array" ref="I228">IF(F228 &gt;= H228,F228 * commission, 0)</f>
        <v>1967.88</v>
      </c>
    </row>
    <row r="229" spans="1:9">
      <c r="A229" s="5">
        <v>44409</v>
      </c>
      <c r="B229" s="4" t="s">
        <v>24</v>
      </c>
      <c r="C229" s="4" t="s">
        <v>25</v>
      </c>
      <c r="D229" s="4" t="s">
        <v>26</v>
      </c>
      <c r="E229" s="4" t="s">
        <v>4</v>
      </c>
      <c r="F229" s="6">
        <v>33694.800000000003</v>
      </c>
      <c r="G229" s="4" t="s">
        <v>22</v>
      </c>
      <c r="H229" s="9">
        <v>15000</v>
      </c>
      <c r="I229" s="8" cm="1">
        <f t="array" ref="I229">IF(F229 &gt;= H229,F229 * commission, 0)</f>
        <v>3369.4800000000005</v>
      </c>
    </row>
    <row r="230" spans="1:9">
      <c r="A230" s="5">
        <v>44409</v>
      </c>
      <c r="B230" s="4" t="s">
        <v>32</v>
      </c>
      <c r="C230" s="4" t="s">
        <v>33</v>
      </c>
      <c r="D230" s="4" t="s">
        <v>34</v>
      </c>
      <c r="E230" s="4" t="s">
        <v>4</v>
      </c>
      <c r="F230" s="6">
        <v>39236</v>
      </c>
      <c r="G230" s="4" t="s">
        <v>28</v>
      </c>
      <c r="H230" s="9">
        <v>15000</v>
      </c>
      <c r="I230" s="8" cm="1">
        <f t="array" ref="I230">IF(F230 &gt;= H230,F230 * commission, 0)</f>
        <v>3923.6000000000004</v>
      </c>
    </row>
    <row r="231" spans="1:9">
      <c r="A231" s="5">
        <v>44409</v>
      </c>
      <c r="B231" s="4" t="s">
        <v>19</v>
      </c>
      <c r="C231" s="4" t="s">
        <v>20</v>
      </c>
      <c r="D231" s="4" t="s">
        <v>21</v>
      </c>
      <c r="E231" s="4" t="s">
        <v>4</v>
      </c>
      <c r="F231" s="6">
        <v>43088.2</v>
      </c>
      <c r="G231" s="4" t="s">
        <v>27</v>
      </c>
      <c r="H231" s="9">
        <v>15000</v>
      </c>
      <c r="I231" s="8" cm="1">
        <f t="array" ref="I231">IF(F231 &gt;= H231,F231 * commission, 0)</f>
        <v>4308.82</v>
      </c>
    </row>
    <row r="232" spans="1:9">
      <c r="A232" s="5">
        <v>44409</v>
      </c>
      <c r="B232" s="4" t="s">
        <v>35</v>
      </c>
      <c r="C232" s="4" t="s">
        <v>36</v>
      </c>
      <c r="D232" s="4" t="s">
        <v>37</v>
      </c>
      <c r="E232" s="4" t="s">
        <v>2</v>
      </c>
      <c r="F232" s="6">
        <v>6201</v>
      </c>
      <c r="G232" s="4" t="s">
        <v>28</v>
      </c>
      <c r="H232" s="9">
        <v>15000</v>
      </c>
      <c r="I232" s="8" cm="1">
        <f t="array" ref="I232">IF(F232 &gt;= H232,F232 * commission, 0)</f>
        <v>0</v>
      </c>
    </row>
    <row r="233" spans="1:9">
      <c r="A233" s="5">
        <v>44409</v>
      </c>
      <c r="B233" s="4" t="s">
        <v>38</v>
      </c>
      <c r="C233" s="4" t="s">
        <v>39</v>
      </c>
      <c r="D233" s="4" t="s">
        <v>40</v>
      </c>
      <c r="E233" s="4" t="s">
        <v>2</v>
      </c>
      <c r="F233" s="6">
        <v>6311.4</v>
      </c>
      <c r="G233" s="4" t="s">
        <v>28</v>
      </c>
      <c r="H233" s="9">
        <v>15000</v>
      </c>
      <c r="I233" s="8" cm="1">
        <f t="array" ref="I233">IF(F233 &gt;= H233,F233 * commission, 0)</f>
        <v>0</v>
      </c>
    </row>
    <row r="234" spans="1:9">
      <c r="A234" s="5">
        <v>44409</v>
      </c>
      <c r="B234" s="4" t="s">
        <v>80</v>
      </c>
      <c r="C234" s="4" t="s">
        <v>81</v>
      </c>
      <c r="D234" s="4" t="s">
        <v>82</v>
      </c>
      <c r="E234" s="4" t="s">
        <v>2</v>
      </c>
      <c r="F234" s="6">
        <v>7289.6</v>
      </c>
      <c r="G234" s="4" t="s">
        <v>27</v>
      </c>
      <c r="H234" s="9">
        <v>15000</v>
      </c>
      <c r="I234" s="8" cm="1">
        <f t="array" ref="I234">IF(F234 &gt;= H234,F234 * commission, 0)</f>
        <v>0</v>
      </c>
    </row>
    <row r="235" spans="1:9">
      <c r="A235" s="5">
        <v>44409</v>
      </c>
      <c r="B235" s="4" t="s">
        <v>80</v>
      </c>
      <c r="C235" s="4" t="s">
        <v>81</v>
      </c>
      <c r="D235" s="4" t="s">
        <v>82</v>
      </c>
      <c r="E235" s="4" t="s">
        <v>2</v>
      </c>
      <c r="F235" s="6">
        <v>8322.4</v>
      </c>
      <c r="G235" s="4" t="s">
        <v>27</v>
      </c>
      <c r="H235" s="9">
        <v>15000</v>
      </c>
      <c r="I235" s="8" cm="1">
        <f t="array" ref="I235">IF(F235 &gt;= H235,F235 * commission, 0)</f>
        <v>0</v>
      </c>
    </row>
    <row r="236" spans="1:9">
      <c r="A236" s="5">
        <v>44409</v>
      </c>
      <c r="B236" s="4" t="s">
        <v>77</v>
      </c>
      <c r="C236" s="4" t="s">
        <v>78</v>
      </c>
      <c r="D236" s="4" t="s">
        <v>79</v>
      </c>
      <c r="E236" s="4" t="s">
        <v>2</v>
      </c>
      <c r="F236" s="6">
        <v>8501.9000000000015</v>
      </c>
      <c r="G236" s="4" t="s">
        <v>22</v>
      </c>
      <c r="H236" s="9">
        <v>15000</v>
      </c>
      <c r="I236" s="8" cm="1">
        <f t="array" ref="I236">IF(F236 &gt;= H236,F236 * commission, 0)</f>
        <v>0</v>
      </c>
    </row>
    <row r="237" spans="1:9">
      <c r="A237" s="5">
        <v>44409</v>
      </c>
      <c r="B237" s="4" t="s">
        <v>35</v>
      </c>
      <c r="C237" s="4" t="s">
        <v>36</v>
      </c>
      <c r="D237" s="4" t="s">
        <v>37</v>
      </c>
      <c r="E237" s="4" t="s">
        <v>2</v>
      </c>
      <c r="F237" s="6">
        <v>9708.2999999999993</v>
      </c>
      <c r="G237" s="4" t="s">
        <v>22</v>
      </c>
      <c r="H237" s="9">
        <v>15000</v>
      </c>
      <c r="I237" s="8" cm="1">
        <f t="array" ref="I237">IF(F237 &gt;= H237,F237 * commission, 0)</f>
        <v>0</v>
      </c>
    </row>
    <row r="238" spans="1:9">
      <c r="A238" s="5">
        <v>44409</v>
      </c>
      <c r="B238" s="4" t="s">
        <v>80</v>
      </c>
      <c r="C238" s="4" t="s">
        <v>81</v>
      </c>
      <c r="D238" s="4" t="s">
        <v>82</v>
      </c>
      <c r="E238" s="4" t="s">
        <v>2</v>
      </c>
      <c r="F238" s="6">
        <v>12944.399999999998</v>
      </c>
      <c r="G238" s="4" t="s">
        <v>22</v>
      </c>
      <c r="H238" s="9">
        <v>15000</v>
      </c>
      <c r="I238" s="8" cm="1">
        <f t="array" ref="I238">IF(F238 &gt;= H238,F238 * commission, 0)</f>
        <v>0</v>
      </c>
    </row>
    <row r="239" spans="1:9">
      <c r="A239" s="5">
        <v>44409</v>
      </c>
      <c r="B239" s="4" t="s">
        <v>35</v>
      </c>
      <c r="C239" s="4" t="s">
        <v>36</v>
      </c>
      <c r="D239" s="4" t="s">
        <v>37</v>
      </c>
      <c r="E239" s="4" t="s">
        <v>2</v>
      </c>
      <c r="F239" s="6">
        <v>14248</v>
      </c>
      <c r="G239" s="4" t="s">
        <v>22</v>
      </c>
      <c r="H239" s="9">
        <v>15000</v>
      </c>
      <c r="I239" s="8" cm="1">
        <f t="array" ref="I239">IF(F239 &gt;= H239,F239 * commission, 0)</f>
        <v>0</v>
      </c>
    </row>
    <row r="240" spans="1:9">
      <c r="A240" s="5">
        <v>44409</v>
      </c>
      <c r="B240" s="4" t="s">
        <v>80</v>
      </c>
      <c r="C240" s="4" t="s">
        <v>81</v>
      </c>
      <c r="D240" s="4" t="s">
        <v>82</v>
      </c>
      <c r="E240" s="4" t="s">
        <v>2</v>
      </c>
      <c r="F240" s="6">
        <v>18298.399999999998</v>
      </c>
      <c r="G240" s="4" t="s">
        <v>28</v>
      </c>
      <c r="H240" s="9">
        <v>15000</v>
      </c>
      <c r="I240" s="8" cm="1">
        <f t="array" ref="I240">IF(F240 &gt;= H240,F240 * commission, 0)</f>
        <v>1829.84</v>
      </c>
    </row>
    <row r="241" spans="1:9">
      <c r="A241" s="5">
        <v>44409</v>
      </c>
      <c r="B241" s="4" t="s">
        <v>80</v>
      </c>
      <c r="C241" s="4" t="s">
        <v>81</v>
      </c>
      <c r="D241" s="4" t="s">
        <v>82</v>
      </c>
      <c r="E241" s="4" t="s">
        <v>2</v>
      </c>
      <c r="F241" s="6">
        <v>18838.399999999998</v>
      </c>
      <c r="G241" s="4" t="s">
        <v>28</v>
      </c>
      <c r="H241" s="9">
        <v>15000</v>
      </c>
      <c r="I241" s="8" cm="1">
        <f t="array" ref="I241">IF(F241 &gt;= H241,F241 * commission, 0)</f>
        <v>1883.84</v>
      </c>
    </row>
    <row r="242" spans="1:9">
      <c r="A242" s="5">
        <v>44409</v>
      </c>
      <c r="B242" s="4" t="s">
        <v>68</v>
      </c>
      <c r="C242" s="4" t="s">
        <v>69</v>
      </c>
      <c r="D242" s="4" t="s">
        <v>70</v>
      </c>
      <c r="E242" s="4" t="s">
        <v>2</v>
      </c>
      <c r="F242" s="6">
        <v>24469.599999999999</v>
      </c>
      <c r="G242" s="4" t="s">
        <v>22</v>
      </c>
      <c r="H242" s="9">
        <v>15000</v>
      </c>
      <c r="I242" s="8" cm="1">
        <f t="array" ref="I242">IF(F242 &gt;= H242,F242 * commission, 0)</f>
        <v>2446.96</v>
      </c>
    </row>
    <row r="243" spans="1:9">
      <c r="A243" s="5">
        <v>44409</v>
      </c>
      <c r="B243" s="4" t="s">
        <v>68</v>
      </c>
      <c r="C243" s="4" t="s">
        <v>69</v>
      </c>
      <c r="D243" s="4" t="s">
        <v>70</v>
      </c>
      <c r="E243" s="4" t="s">
        <v>2</v>
      </c>
      <c r="F243" s="6">
        <v>31053.4</v>
      </c>
      <c r="G243" s="4" t="s">
        <v>27</v>
      </c>
      <c r="H243" s="9">
        <v>15000</v>
      </c>
      <c r="I243" s="8" cm="1">
        <f t="array" ref="I243">IF(F243 &gt;= H243,F243 * commission, 0)</f>
        <v>3105.34</v>
      </c>
    </row>
    <row r="244" spans="1:9">
      <c r="A244" s="5">
        <v>44409</v>
      </c>
      <c r="B244" s="4" t="s">
        <v>47</v>
      </c>
      <c r="C244" s="4" t="s">
        <v>48</v>
      </c>
      <c r="D244" s="4" t="s">
        <v>49</v>
      </c>
      <c r="E244" s="4" t="s">
        <v>3</v>
      </c>
      <c r="F244" s="6">
        <v>3386.6000000000004</v>
      </c>
      <c r="G244" s="4" t="s">
        <v>22</v>
      </c>
      <c r="H244" s="9">
        <v>15000</v>
      </c>
      <c r="I244" s="8" cm="1">
        <f t="array" ref="I244">IF(F244 &gt;= H244,F244 * commission, 0)</f>
        <v>0</v>
      </c>
    </row>
    <row r="245" spans="1:9">
      <c r="A245" s="5">
        <v>44409</v>
      </c>
      <c r="B245" s="4" t="s">
        <v>50</v>
      </c>
      <c r="C245" s="4" t="s">
        <v>51</v>
      </c>
      <c r="D245" s="4" t="s">
        <v>52</v>
      </c>
      <c r="E245" s="4" t="s">
        <v>3</v>
      </c>
      <c r="F245" s="6">
        <v>4028</v>
      </c>
      <c r="G245" s="4" t="s">
        <v>27</v>
      </c>
      <c r="H245" s="9">
        <v>15000</v>
      </c>
      <c r="I245" s="8" cm="1">
        <f t="array" ref="I245">IF(F245 &gt;= H245,F245 * commission, 0)</f>
        <v>0</v>
      </c>
    </row>
    <row r="246" spans="1:9">
      <c r="A246" s="5">
        <v>44409</v>
      </c>
      <c r="B246" s="4" t="s">
        <v>41</v>
      </c>
      <c r="C246" s="4" t="s">
        <v>42</v>
      </c>
      <c r="D246" s="4" t="s">
        <v>43</v>
      </c>
      <c r="E246" s="4" t="s">
        <v>3</v>
      </c>
      <c r="F246" s="6">
        <v>5532.7999999999993</v>
      </c>
      <c r="G246" s="4" t="s">
        <v>22</v>
      </c>
      <c r="H246" s="9">
        <v>15000</v>
      </c>
      <c r="I246" s="8" cm="1">
        <f t="array" ref="I246">IF(F246 &gt;= H246,F246 * commission, 0)</f>
        <v>0</v>
      </c>
    </row>
    <row r="247" spans="1:9">
      <c r="A247" s="5">
        <v>44409</v>
      </c>
      <c r="B247" s="4" t="s">
        <v>47</v>
      </c>
      <c r="C247" s="4" t="s">
        <v>48</v>
      </c>
      <c r="D247" s="4" t="s">
        <v>49</v>
      </c>
      <c r="E247" s="4" t="s">
        <v>3</v>
      </c>
      <c r="F247" s="6">
        <v>10200</v>
      </c>
      <c r="G247" s="4" t="s">
        <v>28</v>
      </c>
      <c r="H247" s="9">
        <v>15000</v>
      </c>
      <c r="I247" s="8" cm="1">
        <f t="array" ref="I247">IF(F247 &gt;= H247,F247 * commission, 0)</f>
        <v>0</v>
      </c>
    </row>
    <row r="248" spans="1:9">
      <c r="A248" s="5">
        <v>44409</v>
      </c>
      <c r="B248" s="4" t="s">
        <v>41</v>
      </c>
      <c r="C248" s="4" t="s">
        <v>42</v>
      </c>
      <c r="D248" s="4" t="s">
        <v>43</v>
      </c>
      <c r="E248" s="4" t="s">
        <v>3</v>
      </c>
      <c r="F248" s="6">
        <v>13923</v>
      </c>
      <c r="G248" s="4" t="s">
        <v>28</v>
      </c>
      <c r="H248" s="9">
        <v>15000</v>
      </c>
      <c r="I248" s="8" cm="1">
        <f t="array" ref="I248">IF(F248 &gt;= H248,F248 * commission, 0)</f>
        <v>0</v>
      </c>
    </row>
    <row r="249" spans="1:9">
      <c r="A249" s="5">
        <v>44409</v>
      </c>
      <c r="B249" s="4" t="s">
        <v>50</v>
      </c>
      <c r="C249" s="4" t="s">
        <v>51</v>
      </c>
      <c r="D249" s="4" t="s">
        <v>52</v>
      </c>
      <c r="E249" s="4" t="s">
        <v>3</v>
      </c>
      <c r="F249" s="6">
        <v>17593.399999999998</v>
      </c>
      <c r="G249" s="4" t="s">
        <v>22</v>
      </c>
      <c r="H249" s="9">
        <v>15000</v>
      </c>
      <c r="I249" s="8" cm="1">
        <f t="array" ref="I249">IF(F249 &gt;= H249,F249 * commission, 0)</f>
        <v>1759.34</v>
      </c>
    </row>
    <row r="250" spans="1:9">
      <c r="A250" s="5">
        <v>44409</v>
      </c>
      <c r="B250" s="4" t="s">
        <v>71</v>
      </c>
      <c r="C250" s="4" t="s">
        <v>72</v>
      </c>
      <c r="D250" s="4" t="s">
        <v>73</v>
      </c>
      <c r="E250" s="4" t="s">
        <v>3</v>
      </c>
      <c r="F250" s="6">
        <v>17666</v>
      </c>
      <c r="G250" s="4" t="s">
        <v>27</v>
      </c>
      <c r="H250" s="9">
        <v>15000</v>
      </c>
      <c r="I250" s="8" cm="1">
        <f t="array" ref="I250">IF(F250 &gt;= H250,F250 * commission, 0)</f>
        <v>1766.6000000000001</v>
      </c>
    </row>
    <row r="251" spans="1:9">
      <c r="A251" s="5">
        <v>44409</v>
      </c>
      <c r="B251" s="4" t="s">
        <v>47</v>
      </c>
      <c r="C251" s="4" t="s">
        <v>48</v>
      </c>
      <c r="D251" s="4" t="s">
        <v>49</v>
      </c>
      <c r="E251" s="4" t="s">
        <v>3</v>
      </c>
      <c r="F251" s="6">
        <v>21420</v>
      </c>
      <c r="G251" s="4" t="s">
        <v>28</v>
      </c>
      <c r="H251" s="9">
        <v>15000</v>
      </c>
      <c r="I251" s="8" cm="1">
        <f t="array" ref="I251">IF(F251 &gt;= H251,F251 * commission, 0)</f>
        <v>2142</v>
      </c>
    </row>
    <row r="252" spans="1:9">
      <c r="A252" s="5">
        <v>44409</v>
      </c>
      <c r="B252" s="4" t="s">
        <v>41</v>
      </c>
      <c r="C252" s="4" t="s">
        <v>42</v>
      </c>
      <c r="D252" s="4" t="s">
        <v>43</v>
      </c>
      <c r="E252" s="4" t="s">
        <v>3</v>
      </c>
      <c r="F252" s="6">
        <v>24080</v>
      </c>
      <c r="G252" s="4" t="s">
        <v>27</v>
      </c>
      <c r="H252" s="9">
        <v>15000</v>
      </c>
      <c r="I252" s="8" cm="1">
        <f t="array" ref="I252">IF(F252 &gt;= H252,F252 * commission, 0)</f>
        <v>2408</v>
      </c>
    </row>
    <row r="253" spans="1:9">
      <c r="A253" s="5">
        <v>44409</v>
      </c>
      <c r="B253" s="4" t="s">
        <v>50</v>
      </c>
      <c r="C253" s="4" t="s">
        <v>51</v>
      </c>
      <c r="D253" s="4" t="s">
        <v>52</v>
      </c>
      <c r="E253" s="4" t="s">
        <v>3</v>
      </c>
      <c r="F253" s="6">
        <v>27531</v>
      </c>
      <c r="G253" s="4" t="s">
        <v>28</v>
      </c>
      <c r="H253" s="9">
        <v>15000</v>
      </c>
      <c r="I253" s="8" cm="1">
        <f t="array" ref="I253">IF(F253 &gt;= H253,F253 * commission, 0)</f>
        <v>2753.1000000000004</v>
      </c>
    </row>
    <row r="254" spans="1:9">
      <c r="A254" s="5">
        <v>44409</v>
      </c>
      <c r="B254" s="4" t="s">
        <v>71</v>
      </c>
      <c r="C254" s="4" t="s">
        <v>72</v>
      </c>
      <c r="D254" s="4" t="s">
        <v>73</v>
      </c>
      <c r="E254" s="4" t="s">
        <v>3</v>
      </c>
      <c r="F254" s="6">
        <v>32795.700000000004</v>
      </c>
      <c r="G254" s="4" t="s">
        <v>22</v>
      </c>
      <c r="H254" s="9">
        <v>15000</v>
      </c>
      <c r="I254" s="8" cm="1">
        <f t="array" ref="I254">IF(F254 &gt;= H254,F254 * commission, 0)</f>
        <v>3279.5700000000006</v>
      </c>
    </row>
    <row r="255" spans="1:9">
      <c r="A255" s="5">
        <v>44409</v>
      </c>
      <c r="B255" s="4" t="s">
        <v>56</v>
      </c>
      <c r="C255" s="4" t="s">
        <v>57</v>
      </c>
      <c r="D255" s="4" t="s">
        <v>58</v>
      </c>
      <c r="E255" s="4" t="s">
        <v>5</v>
      </c>
      <c r="F255" s="6">
        <v>3760.5</v>
      </c>
      <c r="G255" s="4" t="s">
        <v>27</v>
      </c>
      <c r="H255" s="9">
        <v>15000</v>
      </c>
      <c r="I255" s="8" cm="1">
        <f t="array" ref="I255">IF(F255 &gt;= H255,F255 * commission, 0)</f>
        <v>0</v>
      </c>
    </row>
    <row r="256" spans="1:9">
      <c r="A256" s="5">
        <v>44409</v>
      </c>
      <c r="B256" s="4" t="s">
        <v>56</v>
      </c>
      <c r="C256" s="4" t="s">
        <v>57</v>
      </c>
      <c r="D256" s="4" t="s">
        <v>58</v>
      </c>
      <c r="E256" s="4" t="s">
        <v>5</v>
      </c>
      <c r="F256" s="6">
        <v>4322.8</v>
      </c>
      <c r="G256" s="4" t="s">
        <v>28</v>
      </c>
      <c r="H256" s="9">
        <v>15000</v>
      </c>
      <c r="I256" s="8" cm="1">
        <f t="array" ref="I256">IF(F256 &gt;= H256,F256 * commission, 0)</f>
        <v>0</v>
      </c>
    </row>
    <row r="257" spans="1:9">
      <c r="A257" s="5">
        <v>44409</v>
      </c>
      <c r="B257" s="4" t="s">
        <v>56</v>
      </c>
      <c r="C257" s="4" t="s">
        <v>57</v>
      </c>
      <c r="D257" s="4" t="s">
        <v>58</v>
      </c>
      <c r="E257" s="4" t="s">
        <v>5</v>
      </c>
      <c r="F257" s="6">
        <v>9697.6</v>
      </c>
      <c r="G257" s="4" t="s">
        <v>22</v>
      </c>
      <c r="H257" s="9">
        <v>15000</v>
      </c>
      <c r="I257" s="8" cm="1">
        <f t="array" ref="I257">IF(F257 &gt;= H257,F257 * commission, 0)</f>
        <v>0</v>
      </c>
    </row>
    <row r="258" spans="1:9">
      <c r="A258" s="5">
        <v>44409</v>
      </c>
      <c r="B258" s="4" t="s">
        <v>56</v>
      </c>
      <c r="C258" s="4" t="s">
        <v>57</v>
      </c>
      <c r="D258" s="4" t="s">
        <v>58</v>
      </c>
      <c r="E258" s="4" t="s">
        <v>5</v>
      </c>
      <c r="F258" s="6">
        <v>10391.699999999999</v>
      </c>
      <c r="G258" s="4" t="s">
        <v>28</v>
      </c>
      <c r="H258" s="9">
        <v>15000</v>
      </c>
      <c r="I258" s="8" cm="1">
        <f t="array" ref="I258">IF(F258 &gt;= H258,F258 * commission, 0)</f>
        <v>0</v>
      </c>
    </row>
    <row r="259" spans="1:9">
      <c r="A259" s="5">
        <v>44409</v>
      </c>
      <c r="B259" s="4" t="s">
        <v>62</v>
      </c>
      <c r="C259" s="4" t="s">
        <v>63</v>
      </c>
      <c r="D259" s="4" t="s">
        <v>64</v>
      </c>
      <c r="E259" s="4" t="s">
        <v>5</v>
      </c>
      <c r="F259" s="6">
        <v>15670.2</v>
      </c>
      <c r="G259" s="4" t="s">
        <v>28</v>
      </c>
      <c r="H259" s="9">
        <v>15000</v>
      </c>
      <c r="I259" s="8" cm="1">
        <f t="array" ref="I259">IF(F259 &gt;= H259,F259 * commission, 0)</f>
        <v>1567.0200000000002</v>
      </c>
    </row>
    <row r="260" spans="1:9">
      <c r="A260" s="5">
        <v>44409</v>
      </c>
      <c r="B260" s="4" t="s">
        <v>59</v>
      </c>
      <c r="C260" s="4" t="s">
        <v>60</v>
      </c>
      <c r="D260" s="4" t="s">
        <v>61</v>
      </c>
      <c r="E260" s="4" t="s">
        <v>5</v>
      </c>
      <c r="F260" s="6">
        <v>22477.9</v>
      </c>
      <c r="G260" s="4" t="s">
        <v>22</v>
      </c>
      <c r="H260" s="9">
        <v>15000</v>
      </c>
      <c r="I260" s="8" cm="1">
        <f t="array" ref="I260">IF(F260 &gt;= H260,F260 * commission, 0)</f>
        <v>2247.7900000000004</v>
      </c>
    </row>
    <row r="261" spans="1:9">
      <c r="A261" s="5">
        <v>44409</v>
      </c>
      <c r="B261" s="4" t="s">
        <v>59</v>
      </c>
      <c r="C261" s="4" t="s">
        <v>60</v>
      </c>
      <c r="D261" s="4" t="s">
        <v>61</v>
      </c>
      <c r="E261" s="4" t="s">
        <v>5</v>
      </c>
      <c r="F261" s="6">
        <v>36088.1</v>
      </c>
      <c r="G261" s="4" t="s">
        <v>28</v>
      </c>
      <c r="H261" s="9">
        <v>15000</v>
      </c>
      <c r="I261" s="8" cm="1">
        <f t="array" ref="I261">IF(F261 &gt;= H261,F261 * commission, 0)</f>
        <v>3608.81</v>
      </c>
    </row>
    <row r="262" spans="1:9">
      <c r="A262" s="5">
        <v>44409</v>
      </c>
      <c r="B262" s="4" t="s">
        <v>53</v>
      </c>
      <c r="C262" s="4" t="s">
        <v>54</v>
      </c>
      <c r="D262" s="4" t="s">
        <v>55</v>
      </c>
      <c r="E262" s="4" t="s">
        <v>5</v>
      </c>
      <c r="F262" s="6">
        <v>43388.100000000006</v>
      </c>
      <c r="G262" s="4" t="s">
        <v>22</v>
      </c>
      <c r="H262" s="9">
        <v>15000</v>
      </c>
      <c r="I262" s="8" cm="1">
        <f t="array" ref="I262">IF(F262 &gt;= H262,F262 * commission, 0)</f>
        <v>4338.8100000000004</v>
      </c>
    </row>
    <row r="263" spans="1:9">
      <c r="A263" s="5">
        <v>44440</v>
      </c>
      <c r="B263" s="4" t="s">
        <v>29</v>
      </c>
      <c r="C263" s="4" t="s">
        <v>30</v>
      </c>
      <c r="D263" s="4" t="s">
        <v>31</v>
      </c>
      <c r="E263" s="4" t="s">
        <v>4</v>
      </c>
      <c r="F263" s="6">
        <v>5572.3</v>
      </c>
      <c r="G263" s="4" t="s">
        <v>27</v>
      </c>
      <c r="H263" s="9">
        <v>15000</v>
      </c>
      <c r="I263" s="8" cm="1">
        <f t="array" ref="I263">IF(F263 &gt;= H263,F263 * commission, 0)</f>
        <v>0</v>
      </c>
    </row>
    <row r="264" spans="1:9">
      <c r="A264" s="5">
        <v>44440</v>
      </c>
      <c r="B264" s="4" t="s">
        <v>19</v>
      </c>
      <c r="C264" s="4" t="s">
        <v>20</v>
      </c>
      <c r="D264" s="4" t="s">
        <v>21</v>
      </c>
      <c r="E264" s="4" t="s">
        <v>4</v>
      </c>
      <c r="F264" s="6">
        <v>7496.9999999999991</v>
      </c>
      <c r="G264" s="4" t="s">
        <v>22</v>
      </c>
      <c r="H264" s="9">
        <v>15000</v>
      </c>
      <c r="I264" s="8" cm="1">
        <f t="array" ref="I264">IF(F264 &gt;= H264,F264 * commission, 0)</f>
        <v>0</v>
      </c>
    </row>
    <row r="265" spans="1:9">
      <c r="A265" s="5">
        <v>44440</v>
      </c>
      <c r="B265" s="4" t="s">
        <v>32</v>
      </c>
      <c r="C265" s="4" t="s">
        <v>33</v>
      </c>
      <c r="D265" s="4" t="s">
        <v>34</v>
      </c>
      <c r="E265" s="4" t="s">
        <v>4</v>
      </c>
      <c r="F265" s="6">
        <v>9651.1999999999989</v>
      </c>
      <c r="G265" s="4" t="s">
        <v>27</v>
      </c>
      <c r="H265" s="9">
        <v>15000</v>
      </c>
      <c r="I265" s="8" cm="1">
        <f t="array" ref="I265">IF(F265 &gt;= H265,F265 * commission, 0)</f>
        <v>0</v>
      </c>
    </row>
    <row r="266" spans="1:9">
      <c r="A266" s="5">
        <v>44440</v>
      </c>
      <c r="B266" s="4" t="s">
        <v>29</v>
      </c>
      <c r="C266" s="4" t="s">
        <v>30</v>
      </c>
      <c r="D266" s="4" t="s">
        <v>31</v>
      </c>
      <c r="E266" s="4" t="s">
        <v>4</v>
      </c>
      <c r="F266" s="6">
        <v>10492.199999999997</v>
      </c>
      <c r="G266" s="4" t="s">
        <v>28</v>
      </c>
      <c r="H266" s="9">
        <v>15000</v>
      </c>
      <c r="I266" s="8" cm="1">
        <f t="array" ref="I266">IF(F266 &gt;= H266,F266 * commission, 0)</f>
        <v>0</v>
      </c>
    </row>
    <row r="267" spans="1:9">
      <c r="A267" s="5">
        <v>44440</v>
      </c>
      <c r="B267" s="4" t="s">
        <v>29</v>
      </c>
      <c r="C267" s="4" t="s">
        <v>30</v>
      </c>
      <c r="D267" s="4" t="s">
        <v>31</v>
      </c>
      <c r="E267" s="4" t="s">
        <v>4</v>
      </c>
      <c r="F267" s="6">
        <v>18396.7</v>
      </c>
      <c r="G267" s="4" t="s">
        <v>27</v>
      </c>
      <c r="H267" s="9">
        <v>15000</v>
      </c>
      <c r="I267" s="8" cm="1">
        <f t="array" ref="I267">IF(F267 &gt;= H267,F267 * commission, 0)</f>
        <v>1839.67</v>
      </c>
    </row>
    <row r="268" spans="1:9">
      <c r="A268" s="5">
        <v>44440</v>
      </c>
      <c r="B268" s="4" t="s">
        <v>32</v>
      </c>
      <c r="C268" s="4" t="s">
        <v>33</v>
      </c>
      <c r="D268" s="4" t="s">
        <v>34</v>
      </c>
      <c r="E268" s="4" t="s">
        <v>4</v>
      </c>
      <c r="F268" s="6">
        <v>23849.599999999999</v>
      </c>
      <c r="G268" s="4" t="s">
        <v>27</v>
      </c>
      <c r="H268" s="9">
        <v>15000</v>
      </c>
      <c r="I268" s="8" cm="1">
        <f t="array" ref="I268">IF(F268 &gt;= H268,F268 * commission, 0)</f>
        <v>2384.96</v>
      </c>
    </row>
    <row r="269" spans="1:9">
      <c r="A269" s="5">
        <v>44440</v>
      </c>
      <c r="B269" s="4" t="s">
        <v>24</v>
      </c>
      <c r="C269" s="4" t="s">
        <v>25</v>
      </c>
      <c r="D269" s="4" t="s">
        <v>26</v>
      </c>
      <c r="E269" s="4" t="s">
        <v>4</v>
      </c>
      <c r="F269" s="6">
        <v>23882.399999999998</v>
      </c>
      <c r="G269" s="4" t="s">
        <v>28</v>
      </c>
      <c r="H269" s="9">
        <v>15000</v>
      </c>
      <c r="I269" s="8" cm="1">
        <f t="array" ref="I269">IF(F269 &gt;= H269,F269 * commission, 0)</f>
        <v>2388.2399999999998</v>
      </c>
    </row>
    <row r="270" spans="1:9">
      <c r="A270" s="5">
        <v>44440</v>
      </c>
      <c r="B270" s="4" t="s">
        <v>32</v>
      </c>
      <c r="C270" s="4" t="s">
        <v>33</v>
      </c>
      <c r="D270" s="4" t="s">
        <v>34</v>
      </c>
      <c r="E270" s="4" t="s">
        <v>4</v>
      </c>
      <c r="F270" s="6">
        <v>34041.300000000003</v>
      </c>
      <c r="G270" s="4" t="s">
        <v>28</v>
      </c>
      <c r="H270" s="9">
        <v>15000</v>
      </c>
      <c r="I270" s="8" cm="1">
        <f t="array" ref="I270">IF(F270 &gt;= H270,F270 * commission, 0)</f>
        <v>3404.1300000000006</v>
      </c>
    </row>
    <row r="271" spans="1:9">
      <c r="A271" s="5">
        <v>44440</v>
      </c>
      <c r="B271" s="4" t="s">
        <v>80</v>
      </c>
      <c r="C271" s="4" t="s">
        <v>81</v>
      </c>
      <c r="D271" s="4" t="s">
        <v>82</v>
      </c>
      <c r="E271" s="4" t="s">
        <v>2</v>
      </c>
      <c r="F271" s="6">
        <v>3710</v>
      </c>
      <c r="G271" s="4" t="s">
        <v>28</v>
      </c>
      <c r="H271" s="9">
        <v>15000</v>
      </c>
      <c r="I271" s="8" cm="1">
        <f t="array" ref="I271">IF(F271 &gt;= H271,F271 * commission, 0)</f>
        <v>0</v>
      </c>
    </row>
    <row r="272" spans="1:9">
      <c r="A272" s="5">
        <v>44440</v>
      </c>
      <c r="B272" s="4" t="s">
        <v>77</v>
      </c>
      <c r="C272" s="4" t="s">
        <v>78</v>
      </c>
      <c r="D272" s="4" t="s">
        <v>79</v>
      </c>
      <c r="E272" s="4" t="s">
        <v>2</v>
      </c>
      <c r="F272" s="6">
        <v>6600</v>
      </c>
      <c r="G272" s="4" t="s">
        <v>27</v>
      </c>
      <c r="H272" s="9">
        <v>15000</v>
      </c>
      <c r="I272" s="8" cm="1">
        <f t="array" ref="I272">IF(F272 &gt;= H272,F272 * commission, 0)</f>
        <v>0</v>
      </c>
    </row>
    <row r="273" spans="1:9">
      <c r="A273" s="5">
        <v>44440</v>
      </c>
      <c r="B273" s="4" t="s">
        <v>68</v>
      </c>
      <c r="C273" s="4" t="s">
        <v>69</v>
      </c>
      <c r="D273" s="4" t="s">
        <v>70</v>
      </c>
      <c r="E273" s="4" t="s">
        <v>2</v>
      </c>
      <c r="F273" s="6">
        <v>8001</v>
      </c>
      <c r="G273" s="4" t="s">
        <v>27</v>
      </c>
      <c r="H273" s="9">
        <v>15000</v>
      </c>
      <c r="I273" s="8" cm="1">
        <f t="array" ref="I273">IF(F273 &gt;= H273,F273 * commission, 0)</f>
        <v>0</v>
      </c>
    </row>
    <row r="274" spans="1:9">
      <c r="A274" s="5">
        <v>44440</v>
      </c>
      <c r="B274" s="4" t="s">
        <v>80</v>
      </c>
      <c r="C274" s="4" t="s">
        <v>81</v>
      </c>
      <c r="D274" s="4" t="s">
        <v>82</v>
      </c>
      <c r="E274" s="4" t="s">
        <v>2</v>
      </c>
      <c r="F274" s="6">
        <v>8772</v>
      </c>
      <c r="G274" s="4" t="s">
        <v>22</v>
      </c>
      <c r="H274" s="9">
        <v>15000</v>
      </c>
      <c r="I274" s="8" cm="1">
        <f t="array" ref="I274">IF(F274 &gt;= H274,F274 * commission, 0)</f>
        <v>0</v>
      </c>
    </row>
    <row r="275" spans="1:9">
      <c r="A275" s="5">
        <v>44440</v>
      </c>
      <c r="B275" s="4" t="s">
        <v>80</v>
      </c>
      <c r="C275" s="4" t="s">
        <v>81</v>
      </c>
      <c r="D275" s="4" t="s">
        <v>82</v>
      </c>
      <c r="E275" s="4" t="s">
        <v>2</v>
      </c>
      <c r="F275" s="6">
        <v>14089.199999999999</v>
      </c>
      <c r="G275" s="4" t="s">
        <v>22</v>
      </c>
      <c r="H275" s="9">
        <v>15000</v>
      </c>
      <c r="I275" s="8" cm="1">
        <f t="array" ref="I275">IF(F275 &gt;= H275,F275 * commission, 0)</f>
        <v>0</v>
      </c>
    </row>
    <row r="276" spans="1:9">
      <c r="A276" s="5">
        <v>44440</v>
      </c>
      <c r="B276" s="4" t="s">
        <v>35</v>
      </c>
      <c r="C276" s="4" t="s">
        <v>36</v>
      </c>
      <c r="D276" s="4" t="s">
        <v>37</v>
      </c>
      <c r="E276" s="4" t="s">
        <v>2</v>
      </c>
      <c r="F276" s="6">
        <v>16702.400000000001</v>
      </c>
      <c r="G276" s="4" t="s">
        <v>22</v>
      </c>
      <c r="H276" s="9">
        <v>15000</v>
      </c>
      <c r="I276" s="8" cm="1">
        <f t="array" ref="I276">IF(F276 &gt;= H276,F276 * commission, 0)</f>
        <v>1670.2400000000002</v>
      </c>
    </row>
    <row r="277" spans="1:9">
      <c r="A277" s="5">
        <v>44440</v>
      </c>
      <c r="B277" s="4" t="s">
        <v>35</v>
      </c>
      <c r="C277" s="4" t="s">
        <v>36</v>
      </c>
      <c r="D277" s="4" t="s">
        <v>37</v>
      </c>
      <c r="E277" s="4" t="s">
        <v>2</v>
      </c>
      <c r="F277" s="6">
        <v>21216</v>
      </c>
      <c r="G277" s="4" t="s">
        <v>22</v>
      </c>
      <c r="H277" s="9">
        <v>15000</v>
      </c>
      <c r="I277" s="8" cm="1">
        <f t="array" ref="I277">IF(F277 &gt;= H277,F277 * commission, 0)</f>
        <v>2121.6</v>
      </c>
    </row>
    <row r="278" spans="1:9">
      <c r="A278" s="5">
        <v>44440</v>
      </c>
      <c r="B278" s="4" t="s">
        <v>77</v>
      </c>
      <c r="C278" s="4" t="s">
        <v>78</v>
      </c>
      <c r="D278" s="4" t="s">
        <v>79</v>
      </c>
      <c r="E278" s="4" t="s">
        <v>2</v>
      </c>
      <c r="F278" s="6">
        <v>21546</v>
      </c>
      <c r="G278" s="4" t="s">
        <v>27</v>
      </c>
      <c r="H278" s="9">
        <v>15000</v>
      </c>
      <c r="I278" s="8" cm="1">
        <f t="array" ref="I278">IF(F278 &gt;= H278,F278 * commission, 0)</f>
        <v>2154.6</v>
      </c>
    </row>
    <row r="279" spans="1:9">
      <c r="A279" s="5">
        <v>44440</v>
      </c>
      <c r="B279" s="4" t="s">
        <v>77</v>
      </c>
      <c r="C279" s="4" t="s">
        <v>78</v>
      </c>
      <c r="D279" s="4" t="s">
        <v>79</v>
      </c>
      <c r="E279" s="4" t="s">
        <v>2</v>
      </c>
      <c r="F279" s="6">
        <v>31186.6</v>
      </c>
      <c r="G279" s="4" t="s">
        <v>27</v>
      </c>
      <c r="H279" s="9">
        <v>15000</v>
      </c>
      <c r="I279" s="8" cm="1">
        <f t="array" ref="I279">IF(F279 &gt;= H279,F279 * commission, 0)</f>
        <v>3118.66</v>
      </c>
    </row>
    <row r="280" spans="1:9">
      <c r="A280" s="5">
        <v>44440</v>
      </c>
      <c r="B280" s="4" t="s">
        <v>35</v>
      </c>
      <c r="C280" s="4" t="s">
        <v>36</v>
      </c>
      <c r="D280" s="4" t="s">
        <v>37</v>
      </c>
      <c r="E280" s="4" t="s">
        <v>2</v>
      </c>
      <c r="F280" s="6">
        <v>31999.200000000001</v>
      </c>
      <c r="G280" s="4" t="s">
        <v>22</v>
      </c>
      <c r="H280" s="9">
        <v>15000</v>
      </c>
      <c r="I280" s="8" cm="1">
        <f t="array" ref="I280">IF(F280 &gt;= H280,F280 * commission, 0)</f>
        <v>3199.92</v>
      </c>
    </row>
    <row r="281" spans="1:9">
      <c r="A281" s="5">
        <v>44440</v>
      </c>
      <c r="B281" s="4" t="s">
        <v>77</v>
      </c>
      <c r="C281" s="4" t="s">
        <v>78</v>
      </c>
      <c r="D281" s="4" t="s">
        <v>79</v>
      </c>
      <c r="E281" s="4" t="s">
        <v>2</v>
      </c>
      <c r="F281" s="6">
        <v>37520</v>
      </c>
      <c r="G281" s="4" t="s">
        <v>22</v>
      </c>
      <c r="H281" s="9">
        <v>15000</v>
      </c>
      <c r="I281" s="8" cm="1">
        <f t="array" ref="I281">IF(F281 &gt;= H281,F281 * commission, 0)</f>
        <v>3752</v>
      </c>
    </row>
    <row r="282" spans="1:9">
      <c r="A282" s="5">
        <v>44440</v>
      </c>
      <c r="B282" s="4" t="s">
        <v>77</v>
      </c>
      <c r="C282" s="4" t="s">
        <v>78</v>
      </c>
      <c r="D282" s="4" t="s">
        <v>79</v>
      </c>
      <c r="E282" s="4" t="s">
        <v>2</v>
      </c>
      <c r="F282" s="6">
        <v>41215.299999999996</v>
      </c>
      <c r="G282" s="4" t="s">
        <v>28</v>
      </c>
      <c r="H282" s="9">
        <v>15000</v>
      </c>
      <c r="I282" s="8" cm="1">
        <f t="array" ref="I282">IF(F282 &gt;= H282,F282 * commission, 0)</f>
        <v>4121.53</v>
      </c>
    </row>
    <row r="283" spans="1:9">
      <c r="A283" s="5">
        <v>44440</v>
      </c>
      <c r="B283" s="4" t="s">
        <v>50</v>
      </c>
      <c r="C283" s="4" t="s">
        <v>51</v>
      </c>
      <c r="D283" s="4" t="s">
        <v>52</v>
      </c>
      <c r="E283" s="4" t="s">
        <v>3</v>
      </c>
      <c r="F283" s="6">
        <v>7008</v>
      </c>
      <c r="G283" s="4" t="s">
        <v>28</v>
      </c>
      <c r="H283" s="9">
        <v>15000</v>
      </c>
      <c r="I283" s="8" cm="1">
        <f t="array" ref="I283">IF(F283 &gt;= H283,F283 * commission, 0)</f>
        <v>0</v>
      </c>
    </row>
    <row r="284" spans="1:9">
      <c r="A284" s="5">
        <v>44440</v>
      </c>
      <c r="B284" s="4" t="s">
        <v>41</v>
      </c>
      <c r="C284" s="4" t="s">
        <v>42</v>
      </c>
      <c r="D284" s="4" t="s">
        <v>43</v>
      </c>
      <c r="E284" s="4" t="s">
        <v>3</v>
      </c>
      <c r="F284" s="6">
        <v>8099.6999999999989</v>
      </c>
      <c r="G284" s="4" t="s">
        <v>27</v>
      </c>
      <c r="H284" s="9">
        <v>15000</v>
      </c>
      <c r="I284" s="8" cm="1">
        <f t="array" ref="I284">IF(F284 &gt;= H284,F284 * commission, 0)</f>
        <v>0</v>
      </c>
    </row>
    <row r="285" spans="1:9">
      <c r="A285" s="5">
        <v>44440</v>
      </c>
      <c r="B285" s="4" t="s">
        <v>47</v>
      </c>
      <c r="C285" s="4" t="s">
        <v>48</v>
      </c>
      <c r="D285" s="4" t="s">
        <v>49</v>
      </c>
      <c r="E285" s="4" t="s">
        <v>3</v>
      </c>
      <c r="F285" s="6">
        <v>9840</v>
      </c>
      <c r="G285" s="4" t="s">
        <v>22</v>
      </c>
      <c r="H285" s="9">
        <v>15000</v>
      </c>
      <c r="I285" s="8" cm="1">
        <f t="array" ref="I285">IF(F285 &gt;= H285,F285 * commission, 0)</f>
        <v>0</v>
      </c>
    </row>
    <row r="286" spans="1:9">
      <c r="A286" s="5">
        <v>44440</v>
      </c>
      <c r="B286" s="4" t="s">
        <v>44</v>
      </c>
      <c r="C286" s="4" t="s">
        <v>45</v>
      </c>
      <c r="D286" s="4" t="s">
        <v>46</v>
      </c>
      <c r="E286" s="4" t="s">
        <v>3</v>
      </c>
      <c r="F286" s="6">
        <v>10218</v>
      </c>
      <c r="G286" s="4" t="s">
        <v>22</v>
      </c>
      <c r="H286" s="9">
        <v>15000</v>
      </c>
      <c r="I286" s="8" cm="1">
        <f t="array" ref="I286">IF(F286 &gt;= H286,F286 * commission, 0)</f>
        <v>0</v>
      </c>
    </row>
    <row r="287" spans="1:9">
      <c r="A287" s="5">
        <v>44440</v>
      </c>
      <c r="B287" s="4" t="s">
        <v>47</v>
      </c>
      <c r="C287" s="4" t="s">
        <v>48</v>
      </c>
      <c r="D287" s="4" t="s">
        <v>49</v>
      </c>
      <c r="E287" s="4" t="s">
        <v>3</v>
      </c>
      <c r="F287" s="6">
        <v>14311.2</v>
      </c>
      <c r="G287" s="4" t="s">
        <v>27</v>
      </c>
      <c r="H287" s="9">
        <v>15000</v>
      </c>
      <c r="I287" s="8" cm="1">
        <f t="array" ref="I287">IF(F287 &gt;= H287,F287 * commission, 0)</f>
        <v>0</v>
      </c>
    </row>
    <row r="288" spans="1:9">
      <c r="A288" s="5">
        <v>44440</v>
      </c>
      <c r="B288" s="4" t="s">
        <v>47</v>
      </c>
      <c r="C288" s="4" t="s">
        <v>48</v>
      </c>
      <c r="D288" s="4" t="s">
        <v>49</v>
      </c>
      <c r="E288" s="4" t="s">
        <v>3</v>
      </c>
      <c r="F288" s="6">
        <v>14715.2</v>
      </c>
      <c r="G288" s="4" t="s">
        <v>22</v>
      </c>
      <c r="H288" s="9">
        <v>15000</v>
      </c>
      <c r="I288" s="8" cm="1">
        <f t="array" ref="I288">IF(F288 &gt;= H288,F288 * commission, 0)</f>
        <v>0</v>
      </c>
    </row>
    <row r="289" spans="1:9">
      <c r="A289" s="5">
        <v>44440</v>
      </c>
      <c r="B289" s="4" t="s">
        <v>71</v>
      </c>
      <c r="C289" s="4" t="s">
        <v>72</v>
      </c>
      <c r="D289" s="4" t="s">
        <v>73</v>
      </c>
      <c r="E289" s="4" t="s">
        <v>3</v>
      </c>
      <c r="F289" s="6">
        <v>19147.8</v>
      </c>
      <c r="G289" s="4" t="s">
        <v>22</v>
      </c>
      <c r="H289" s="9">
        <v>15000</v>
      </c>
      <c r="I289" s="8" cm="1">
        <f t="array" ref="I289">IF(F289 &gt;= H289,F289 * commission, 0)</f>
        <v>1914.78</v>
      </c>
    </row>
    <row r="290" spans="1:9">
      <c r="A290" s="5">
        <v>44440</v>
      </c>
      <c r="B290" s="4" t="s">
        <v>47</v>
      </c>
      <c r="C290" s="4" t="s">
        <v>48</v>
      </c>
      <c r="D290" s="4" t="s">
        <v>49</v>
      </c>
      <c r="E290" s="4" t="s">
        <v>3</v>
      </c>
      <c r="F290" s="6">
        <v>20760.300000000003</v>
      </c>
      <c r="G290" s="4" t="s">
        <v>22</v>
      </c>
      <c r="H290" s="9">
        <v>15000</v>
      </c>
      <c r="I290" s="8" cm="1">
        <f t="array" ref="I290">IF(F290 &gt;= H290,F290 * commission, 0)</f>
        <v>2076.0300000000002</v>
      </c>
    </row>
    <row r="291" spans="1:9">
      <c r="A291" s="5">
        <v>44440</v>
      </c>
      <c r="B291" s="4" t="s">
        <v>71</v>
      </c>
      <c r="C291" s="4" t="s">
        <v>72</v>
      </c>
      <c r="D291" s="4" t="s">
        <v>73</v>
      </c>
      <c r="E291" s="4" t="s">
        <v>3</v>
      </c>
      <c r="F291" s="6">
        <v>24579.8</v>
      </c>
      <c r="G291" s="4" t="s">
        <v>27</v>
      </c>
      <c r="H291" s="9">
        <v>15000</v>
      </c>
      <c r="I291" s="8" cm="1">
        <f t="array" ref="I291">IF(F291 &gt;= H291,F291 * commission, 0)</f>
        <v>2457.98</v>
      </c>
    </row>
    <row r="292" spans="1:9">
      <c r="A292" s="5">
        <v>44440</v>
      </c>
      <c r="B292" s="4" t="s">
        <v>71</v>
      </c>
      <c r="C292" s="4" t="s">
        <v>72</v>
      </c>
      <c r="D292" s="4" t="s">
        <v>73</v>
      </c>
      <c r="E292" s="4" t="s">
        <v>3</v>
      </c>
      <c r="F292" s="6">
        <v>25946.300000000003</v>
      </c>
      <c r="G292" s="4" t="s">
        <v>28</v>
      </c>
      <c r="H292" s="9">
        <v>15000</v>
      </c>
      <c r="I292" s="8" cm="1">
        <f t="array" ref="I292">IF(F292 &gt;= H292,F292 * commission, 0)</f>
        <v>2594.6300000000006</v>
      </c>
    </row>
    <row r="293" spans="1:9">
      <c r="A293" s="5">
        <v>44440</v>
      </c>
      <c r="B293" s="4" t="s">
        <v>41</v>
      </c>
      <c r="C293" s="4" t="s">
        <v>42</v>
      </c>
      <c r="D293" s="4" t="s">
        <v>43</v>
      </c>
      <c r="E293" s="4" t="s">
        <v>3</v>
      </c>
      <c r="F293" s="6">
        <v>30367.999999999996</v>
      </c>
      <c r="G293" s="4" t="s">
        <v>22</v>
      </c>
      <c r="H293" s="9">
        <v>15000</v>
      </c>
      <c r="I293" s="8" cm="1">
        <f t="array" ref="I293">IF(F293 &gt;= H293,F293 * commission, 0)</f>
        <v>3036.7999999999997</v>
      </c>
    </row>
    <row r="294" spans="1:9">
      <c r="A294" s="5">
        <v>44440</v>
      </c>
      <c r="B294" s="4" t="s">
        <v>50</v>
      </c>
      <c r="C294" s="4" t="s">
        <v>51</v>
      </c>
      <c r="D294" s="4" t="s">
        <v>52</v>
      </c>
      <c r="E294" s="4" t="s">
        <v>3</v>
      </c>
      <c r="F294" s="6">
        <v>35640</v>
      </c>
      <c r="G294" s="4" t="s">
        <v>27</v>
      </c>
      <c r="H294" s="9">
        <v>15000</v>
      </c>
      <c r="I294" s="8" cm="1">
        <f t="array" ref="I294">IF(F294 &gt;= H294,F294 * commission, 0)</f>
        <v>3564</v>
      </c>
    </row>
    <row r="295" spans="1:9">
      <c r="A295" s="5">
        <v>44440</v>
      </c>
      <c r="B295" s="4" t="s">
        <v>74</v>
      </c>
      <c r="C295" s="4" t="s">
        <v>75</v>
      </c>
      <c r="D295" s="4" t="s">
        <v>76</v>
      </c>
      <c r="E295" s="4" t="s">
        <v>5</v>
      </c>
      <c r="F295" s="6">
        <v>7714</v>
      </c>
      <c r="G295" s="4" t="s">
        <v>27</v>
      </c>
      <c r="H295" s="9">
        <v>15000</v>
      </c>
      <c r="I295" s="8" cm="1">
        <f t="array" ref="I295">IF(F295 &gt;= H295,F295 * commission, 0)</f>
        <v>0</v>
      </c>
    </row>
    <row r="296" spans="1:9">
      <c r="A296" s="5">
        <v>44440</v>
      </c>
      <c r="B296" s="4" t="s">
        <v>53</v>
      </c>
      <c r="C296" s="4" t="s">
        <v>54</v>
      </c>
      <c r="D296" s="4" t="s">
        <v>55</v>
      </c>
      <c r="E296" s="4" t="s">
        <v>5</v>
      </c>
      <c r="F296" s="6">
        <v>15152.399999999998</v>
      </c>
      <c r="G296" s="4" t="s">
        <v>28</v>
      </c>
      <c r="H296" s="9">
        <v>15000</v>
      </c>
      <c r="I296" s="8" cm="1">
        <f t="array" ref="I296">IF(F296 &gt;= H296,F296 * commission, 0)</f>
        <v>1515.2399999999998</v>
      </c>
    </row>
    <row r="297" spans="1:9">
      <c r="A297" s="5">
        <v>44440</v>
      </c>
      <c r="B297" s="4" t="s">
        <v>56</v>
      </c>
      <c r="C297" s="4" t="s">
        <v>57</v>
      </c>
      <c r="D297" s="4" t="s">
        <v>58</v>
      </c>
      <c r="E297" s="4" t="s">
        <v>5</v>
      </c>
      <c r="F297" s="6">
        <v>16363.900000000001</v>
      </c>
      <c r="G297" s="4" t="s">
        <v>27</v>
      </c>
      <c r="H297" s="9">
        <v>15000</v>
      </c>
      <c r="I297" s="8" cm="1">
        <f t="array" ref="I297">IF(F297 &gt;= H297,F297 * commission, 0)</f>
        <v>1636.3900000000003</v>
      </c>
    </row>
    <row r="298" spans="1:9">
      <c r="A298" s="5">
        <v>44470</v>
      </c>
      <c r="B298" s="4" t="s">
        <v>65</v>
      </c>
      <c r="C298" s="4" t="s">
        <v>66</v>
      </c>
      <c r="D298" s="4" t="s">
        <v>67</v>
      </c>
      <c r="E298" s="4" t="s">
        <v>4</v>
      </c>
      <c r="F298" s="6">
        <v>3243.6000000000004</v>
      </c>
      <c r="G298" s="4" t="s">
        <v>27</v>
      </c>
      <c r="H298" s="9">
        <v>15000</v>
      </c>
      <c r="I298" s="8" cm="1">
        <f t="array" ref="I298">IF(F298 &gt;= H298,F298 * commission, 0)</f>
        <v>0</v>
      </c>
    </row>
    <row r="299" spans="1:9">
      <c r="A299" s="5">
        <v>44470</v>
      </c>
      <c r="B299" s="4" t="s">
        <v>19</v>
      </c>
      <c r="C299" s="4" t="s">
        <v>20</v>
      </c>
      <c r="D299" s="4" t="s">
        <v>21</v>
      </c>
      <c r="E299" s="4" t="s">
        <v>4</v>
      </c>
      <c r="F299" s="6">
        <v>12633.599999999999</v>
      </c>
      <c r="G299" s="4" t="s">
        <v>22</v>
      </c>
      <c r="H299" s="9">
        <v>15000</v>
      </c>
      <c r="I299" s="8" cm="1">
        <f t="array" ref="I299">IF(F299 &gt;= H299,F299 * commission, 0)</f>
        <v>0</v>
      </c>
    </row>
    <row r="300" spans="1:9">
      <c r="A300" s="5">
        <v>44470</v>
      </c>
      <c r="B300" s="4" t="s">
        <v>65</v>
      </c>
      <c r="C300" s="4" t="s">
        <v>66</v>
      </c>
      <c r="D300" s="4" t="s">
        <v>67</v>
      </c>
      <c r="E300" s="4" t="s">
        <v>4</v>
      </c>
      <c r="F300" s="6">
        <v>12806.399999999998</v>
      </c>
      <c r="G300" s="4" t="s">
        <v>28</v>
      </c>
      <c r="H300" s="9">
        <v>15000</v>
      </c>
      <c r="I300" s="8" cm="1">
        <f t="array" ref="I300">IF(F300 &gt;= H300,F300 * commission, 0)</f>
        <v>0</v>
      </c>
    </row>
    <row r="301" spans="1:9">
      <c r="A301" s="5">
        <v>44470</v>
      </c>
      <c r="B301" s="4" t="s">
        <v>32</v>
      </c>
      <c r="C301" s="4" t="s">
        <v>33</v>
      </c>
      <c r="D301" s="4" t="s">
        <v>34</v>
      </c>
      <c r="E301" s="4" t="s">
        <v>4</v>
      </c>
      <c r="F301" s="6">
        <v>20031.199999999997</v>
      </c>
      <c r="G301" s="4" t="s">
        <v>28</v>
      </c>
      <c r="H301" s="9">
        <v>15000</v>
      </c>
      <c r="I301" s="8" cm="1">
        <f t="array" ref="I301">IF(F301 &gt;= H301,F301 * commission, 0)</f>
        <v>2003.12</v>
      </c>
    </row>
    <row r="302" spans="1:9">
      <c r="A302" s="5">
        <v>44470</v>
      </c>
      <c r="B302" s="4" t="s">
        <v>29</v>
      </c>
      <c r="C302" s="4" t="s">
        <v>30</v>
      </c>
      <c r="D302" s="4" t="s">
        <v>31</v>
      </c>
      <c r="E302" s="4" t="s">
        <v>4</v>
      </c>
      <c r="F302" s="6">
        <v>21485.200000000001</v>
      </c>
      <c r="G302" s="4" t="s">
        <v>22</v>
      </c>
      <c r="H302" s="9">
        <v>15000</v>
      </c>
      <c r="I302" s="8" cm="1">
        <f t="array" ref="I302">IF(F302 &gt;= H302,F302 * commission, 0)</f>
        <v>2148.52</v>
      </c>
    </row>
    <row r="303" spans="1:9">
      <c r="A303" s="5">
        <v>44470</v>
      </c>
      <c r="B303" s="4" t="s">
        <v>24</v>
      </c>
      <c r="C303" s="4" t="s">
        <v>25</v>
      </c>
      <c r="D303" s="4" t="s">
        <v>26</v>
      </c>
      <c r="E303" s="4" t="s">
        <v>4</v>
      </c>
      <c r="F303" s="6">
        <v>22607.200000000004</v>
      </c>
      <c r="G303" s="4" t="s">
        <v>27</v>
      </c>
      <c r="H303" s="9">
        <v>15000</v>
      </c>
      <c r="I303" s="8" cm="1">
        <f t="array" ref="I303">IF(F303 &gt;= H303,F303 * commission, 0)</f>
        <v>2260.7200000000007</v>
      </c>
    </row>
    <row r="304" spans="1:9">
      <c r="A304" s="5">
        <v>44470</v>
      </c>
      <c r="B304" s="4" t="s">
        <v>35</v>
      </c>
      <c r="C304" s="4" t="s">
        <v>36</v>
      </c>
      <c r="D304" s="4" t="s">
        <v>37</v>
      </c>
      <c r="E304" s="4" t="s">
        <v>2</v>
      </c>
      <c r="F304" s="6">
        <v>3035.1</v>
      </c>
      <c r="G304" s="4" t="s">
        <v>22</v>
      </c>
      <c r="H304" s="9">
        <v>15000</v>
      </c>
      <c r="I304" s="8" cm="1">
        <f t="array" ref="I304">IF(F304 &gt;= H304,F304 * commission, 0)</f>
        <v>0</v>
      </c>
    </row>
    <row r="305" spans="1:9">
      <c r="A305" s="5">
        <v>44470</v>
      </c>
      <c r="B305" s="4" t="s">
        <v>77</v>
      </c>
      <c r="C305" s="4" t="s">
        <v>78</v>
      </c>
      <c r="D305" s="4" t="s">
        <v>79</v>
      </c>
      <c r="E305" s="4" t="s">
        <v>2</v>
      </c>
      <c r="F305" s="6">
        <v>6688</v>
      </c>
      <c r="G305" s="4" t="s">
        <v>22</v>
      </c>
      <c r="H305" s="9">
        <v>15000</v>
      </c>
      <c r="I305" s="8" cm="1">
        <f t="array" ref="I305">IF(F305 &gt;= H305,F305 * commission, 0)</f>
        <v>0</v>
      </c>
    </row>
    <row r="306" spans="1:9">
      <c r="A306" s="5">
        <v>44470</v>
      </c>
      <c r="B306" s="4" t="s">
        <v>35</v>
      </c>
      <c r="C306" s="4" t="s">
        <v>36</v>
      </c>
      <c r="D306" s="4" t="s">
        <v>37</v>
      </c>
      <c r="E306" s="4" t="s">
        <v>2</v>
      </c>
      <c r="F306" s="6">
        <v>7024.2</v>
      </c>
      <c r="G306" s="4" t="s">
        <v>28</v>
      </c>
      <c r="H306" s="9">
        <v>15000</v>
      </c>
      <c r="I306" s="8" cm="1">
        <f t="array" ref="I306">IF(F306 &gt;= H306,F306 * commission, 0)</f>
        <v>0</v>
      </c>
    </row>
    <row r="307" spans="1:9">
      <c r="A307" s="5">
        <v>44470</v>
      </c>
      <c r="B307" s="4" t="s">
        <v>77</v>
      </c>
      <c r="C307" s="4" t="s">
        <v>78</v>
      </c>
      <c r="D307" s="4" t="s">
        <v>79</v>
      </c>
      <c r="E307" s="4" t="s">
        <v>2</v>
      </c>
      <c r="F307" s="6">
        <v>7139.0000000000009</v>
      </c>
      <c r="G307" s="4" t="s">
        <v>27</v>
      </c>
      <c r="H307" s="9">
        <v>15000</v>
      </c>
      <c r="I307" s="8" cm="1">
        <f t="array" ref="I307">IF(F307 &gt;= H307,F307 * commission, 0)</f>
        <v>0</v>
      </c>
    </row>
    <row r="308" spans="1:9">
      <c r="A308" s="5">
        <v>44470</v>
      </c>
      <c r="B308" s="4" t="s">
        <v>80</v>
      </c>
      <c r="C308" s="4" t="s">
        <v>81</v>
      </c>
      <c r="D308" s="4" t="s">
        <v>82</v>
      </c>
      <c r="E308" s="4" t="s">
        <v>2</v>
      </c>
      <c r="F308" s="6">
        <v>10948</v>
      </c>
      <c r="G308" s="4" t="s">
        <v>22</v>
      </c>
      <c r="H308" s="9">
        <v>15000</v>
      </c>
      <c r="I308" s="8" cm="1">
        <f t="array" ref="I308">IF(F308 &gt;= H308,F308 * commission, 0)</f>
        <v>0</v>
      </c>
    </row>
    <row r="309" spans="1:9">
      <c r="A309" s="5">
        <v>44470</v>
      </c>
      <c r="B309" s="4" t="s">
        <v>80</v>
      </c>
      <c r="C309" s="4" t="s">
        <v>81</v>
      </c>
      <c r="D309" s="4" t="s">
        <v>82</v>
      </c>
      <c r="E309" s="4" t="s">
        <v>2</v>
      </c>
      <c r="F309" s="6">
        <v>10988.800000000001</v>
      </c>
      <c r="G309" s="4" t="s">
        <v>27</v>
      </c>
      <c r="H309" s="9">
        <v>15000</v>
      </c>
      <c r="I309" s="8" cm="1">
        <f t="array" ref="I309">IF(F309 &gt;= H309,F309 * commission, 0)</f>
        <v>0</v>
      </c>
    </row>
    <row r="310" spans="1:9">
      <c r="A310" s="5">
        <v>44470</v>
      </c>
      <c r="B310" s="4" t="s">
        <v>80</v>
      </c>
      <c r="C310" s="4" t="s">
        <v>81</v>
      </c>
      <c r="D310" s="4" t="s">
        <v>82</v>
      </c>
      <c r="E310" s="4" t="s">
        <v>2</v>
      </c>
      <c r="F310" s="6">
        <v>12306.6</v>
      </c>
      <c r="G310" s="4" t="s">
        <v>22</v>
      </c>
      <c r="H310" s="9">
        <v>15000</v>
      </c>
      <c r="I310" s="8" cm="1">
        <f t="array" ref="I310">IF(F310 &gt;= H310,F310 * commission, 0)</f>
        <v>0</v>
      </c>
    </row>
    <row r="311" spans="1:9">
      <c r="A311" s="5">
        <v>44470</v>
      </c>
      <c r="B311" s="4" t="s">
        <v>80</v>
      </c>
      <c r="C311" s="4" t="s">
        <v>81</v>
      </c>
      <c r="D311" s="4" t="s">
        <v>82</v>
      </c>
      <c r="E311" s="4" t="s">
        <v>2</v>
      </c>
      <c r="F311" s="6">
        <v>16077</v>
      </c>
      <c r="G311" s="4" t="s">
        <v>22</v>
      </c>
      <c r="H311" s="9">
        <v>15000</v>
      </c>
      <c r="I311" s="8" cm="1">
        <f t="array" ref="I311">IF(F311 &gt;= H311,F311 * commission, 0)</f>
        <v>1607.7</v>
      </c>
    </row>
    <row r="312" spans="1:9">
      <c r="A312" s="5">
        <v>44470</v>
      </c>
      <c r="B312" s="4" t="s">
        <v>38</v>
      </c>
      <c r="C312" s="4" t="s">
        <v>39</v>
      </c>
      <c r="D312" s="4" t="s">
        <v>40</v>
      </c>
      <c r="E312" s="4" t="s">
        <v>2</v>
      </c>
      <c r="F312" s="6">
        <v>19594</v>
      </c>
      <c r="G312" s="4" t="s">
        <v>22</v>
      </c>
      <c r="H312" s="9">
        <v>15000</v>
      </c>
      <c r="I312" s="8" cm="1">
        <f t="array" ref="I312">IF(F312 &gt;= H312,F312 * commission, 0)</f>
        <v>1959.4</v>
      </c>
    </row>
    <row r="313" spans="1:9">
      <c r="A313" s="5">
        <v>44470</v>
      </c>
      <c r="B313" s="4" t="s">
        <v>35</v>
      </c>
      <c r="C313" s="4" t="s">
        <v>36</v>
      </c>
      <c r="D313" s="4" t="s">
        <v>37</v>
      </c>
      <c r="E313" s="4" t="s">
        <v>2</v>
      </c>
      <c r="F313" s="6">
        <v>19946.199999999997</v>
      </c>
      <c r="G313" s="4" t="s">
        <v>28</v>
      </c>
      <c r="H313" s="9">
        <v>15000</v>
      </c>
      <c r="I313" s="8" cm="1">
        <f t="array" ref="I313">IF(F313 &gt;= H313,F313 * commission, 0)</f>
        <v>1994.62</v>
      </c>
    </row>
    <row r="314" spans="1:9">
      <c r="A314" s="5">
        <v>44470</v>
      </c>
      <c r="B314" s="4" t="s">
        <v>68</v>
      </c>
      <c r="C314" s="4" t="s">
        <v>69</v>
      </c>
      <c r="D314" s="4" t="s">
        <v>70</v>
      </c>
      <c r="E314" s="4" t="s">
        <v>2</v>
      </c>
      <c r="F314" s="6">
        <v>26773.4</v>
      </c>
      <c r="G314" s="4" t="s">
        <v>28</v>
      </c>
      <c r="H314" s="9">
        <v>15000</v>
      </c>
      <c r="I314" s="8" cm="1">
        <f t="array" ref="I314">IF(F314 &gt;= H314,F314 * commission, 0)</f>
        <v>2677.34</v>
      </c>
    </row>
    <row r="315" spans="1:9">
      <c r="A315" s="5">
        <v>44470</v>
      </c>
      <c r="B315" s="4" t="s">
        <v>80</v>
      </c>
      <c r="C315" s="4" t="s">
        <v>81</v>
      </c>
      <c r="D315" s="4" t="s">
        <v>82</v>
      </c>
      <c r="E315" s="4" t="s">
        <v>2</v>
      </c>
      <c r="F315" s="6">
        <v>28464.9</v>
      </c>
      <c r="G315" s="4" t="s">
        <v>28</v>
      </c>
      <c r="H315" s="9">
        <v>15000</v>
      </c>
      <c r="I315" s="8" cm="1">
        <f t="array" ref="I315">IF(F315 &gt;= H315,F315 * commission, 0)</f>
        <v>2846.4900000000002</v>
      </c>
    </row>
    <row r="316" spans="1:9">
      <c r="A316" s="5">
        <v>44470</v>
      </c>
      <c r="B316" s="4" t="s">
        <v>77</v>
      </c>
      <c r="C316" s="4" t="s">
        <v>78</v>
      </c>
      <c r="D316" s="4" t="s">
        <v>79</v>
      </c>
      <c r="E316" s="4" t="s">
        <v>2</v>
      </c>
      <c r="F316" s="6">
        <v>37544.800000000003</v>
      </c>
      <c r="G316" s="4" t="s">
        <v>27</v>
      </c>
      <c r="H316" s="9">
        <v>15000</v>
      </c>
      <c r="I316" s="8" cm="1">
        <f t="array" ref="I316">IF(F316 &gt;= H316,F316 * commission, 0)</f>
        <v>3754.4800000000005</v>
      </c>
    </row>
    <row r="317" spans="1:9">
      <c r="A317" s="5">
        <v>44470</v>
      </c>
      <c r="B317" s="4" t="s">
        <v>80</v>
      </c>
      <c r="C317" s="4" t="s">
        <v>81</v>
      </c>
      <c r="D317" s="4" t="s">
        <v>82</v>
      </c>
      <c r="E317" s="4" t="s">
        <v>2</v>
      </c>
      <c r="F317" s="6">
        <v>40224.800000000003</v>
      </c>
      <c r="G317" s="4" t="s">
        <v>27</v>
      </c>
      <c r="H317" s="9">
        <v>15000</v>
      </c>
      <c r="I317" s="8" cm="1">
        <f t="array" ref="I317">IF(F317 &gt;= H317,F317 * commission, 0)</f>
        <v>4022.4800000000005</v>
      </c>
    </row>
    <row r="318" spans="1:9">
      <c r="A318" s="5">
        <v>44470</v>
      </c>
      <c r="B318" s="4" t="s">
        <v>38</v>
      </c>
      <c r="C318" s="4" t="s">
        <v>39</v>
      </c>
      <c r="D318" s="4" t="s">
        <v>40</v>
      </c>
      <c r="E318" s="4" t="s">
        <v>2</v>
      </c>
      <c r="F318" s="6">
        <v>43591.8</v>
      </c>
      <c r="G318" s="4" t="s">
        <v>27</v>
      </c>
      <c r="H318" s="9">
        <v>15000</v>
      </c>
      <c r="I318" s="8" cm="1">
        <f t="array" ref="I318">IF(F318 &gt;= H318,F318 * commission, 0)</f>
        <v>4359.18</v>
      </c>
    </row>
    <row r="319" spans="1:9">
      <c r="A319" s="5">
        <v>44470</v>
      </c>
      <c r="B319" s="4" t="s">
        <v>44</v>
      </c>
      <c r="C319" s="4" t="s">
        <v>45</v>
      </c>
      <c r="D319" s="4" t="s">
        <v>46</v>
      </c>
      <c r="E319" s="4" t="s">
        <v>3</v>
      </c>
      <c r="F319" s="6">
        <v>4201.6000000000004</v>
      </c>
      <c r="G319" s="4" t="s">
        <v>22</v>
      </c>
      <c r="H319" s="9">
        <v>15000</v>
      </c>
      <c r="I319" s="8" cm="1">
        <f t="array" ref="I319">IF(F319 &gt;= H319,F319 * commission, 0)</f>
        <v>0</v>
      </c>
    </row>
    <row r="320" spans="1:9">
      <c r="A320" s="5">
        <v>44470</v>
      </c>
      <c r="B320" s="4" t="s">
        <v>41</v>
      </c>
      <c r="C320" s="4" t="s">
        <v>42</v>
      </c>
      <c r="D320" s="4" t="s">
        <v>43</v>
      </c>
      <c r="E320" s="4" t="s">
        <v>3</v>
      </c>
      <c r="F320" s="6">
        <v>15262.8</v>
      </c>
      <c r="G320" s="4" t="s">
        <v>28</v>
      </c>
      <c r="H320" s="9">
        <v>15000</v>
      </c>
      <c r="I320" s="8" cm="1">
        <f t="array" ref="I320">IF(F320 &gt;= H320,F320 * commission, 0)</f>
        <v>1526.28</v>
      </c>
    </row>
    <row r="321" spans="1:9">
      <c r="A321" s="5">
        <v>44470</v>
      </c>
      <c r="B321" s="4" t="s">
        <v>71</v>
      </c>
      <c r="C321" s="4" t="s">
        <v>72</v>
      </c>
      <c r="D321" s="4" t="s">
        <v>73</v>
      </c>
      <c r="E321" s="4" t="s">
        <v>3</v>
      </c>
      <c r="F321" s="6">
        <v>20790</v>
      </c>
      <c r="G321" s="4" t="s">
        <v>22</v>
      </c>
      <c r="H321" s="9">
        <v>15000</v>
      </c>
      <c r="I321" s="8" cm="1">
        <f t="array" ref="I321">IF(F321 &gt;= H321,F321 * commission, 0)</f>
        <v>2079</v>
      </c>
    </row>
    <row r="322" spans="1:9">
      <c r="A322" s="5">
        <v>44470</v>
      </c>
      <c r="B322" s="4" t="s">
        <v>44</v>
      </c>
      <c r="C322" s="4" t="s">
        <v>45</v>
      </c>
      <c r="D322" s="4" t="s">
        <v>46</v>
      </c>
      <c r="E322" s="4" t="s">
        <v>3</v>
      </c>
      <c r="F322" s="6">
        <v>21878.5</v>
      </c>
      <c r="G322" s="4" t="s">
        <v>27</v>
      </c>
      <c r="H322" s="9">
        <v>15000</v>
      </c>
      <c r="I322" s="8" cm="1">
        <f t="array" ref="I322">IF(F322 &gt;= H322,F322 * commission, 0)</f>
        <v>2187.85</v>
      </c>
    </row>
    <row r="323" spans="1:9">
      <c r="A323" s="5">
        <v>44470</v>
      </c>
      <c r="B323" s="4" t="s">
        <v>71</v>
      </c>
      <c r="C323" s="4" t="s">
        <v>72</v>
      </c>
      <c r="D323" s="4" t="s">
        <v>73</v>
      </c>
      <c r="E323" s="4" t="s">
        <v>3</v>
      </c>
      <c r="F323" s="6">
        <v>22136.800000000003</v>
      </c>
      <c r="G323" s="4" t="s">
        <v>27</v>
      </c>
      <c r="H323" s="9">
        <v>15000</v>
      </c>
      <c r="I323" s="8" cm="1">
        <f t="array" ref="I323">IF(F323 &gt;= H323,F323 * commission, 0)</f>
        <v>2213.6800000000003</v>
      </c>
    </row>
    <row r="324" spans="1:9">
      <c r="A324" s="5">
        <v>44470</v>
      </c>
      <c r="B324" s="4" t="s">
        <v>71</v>
      </c>
      <c r="C324" s="4" t="s">
        <v>72</v>
      </c>
      <c r="D324" s="4" t="s">
        <v>73</v>
      </c>
      <c r="E324" s="4" t="s">
        <v>3</v>
      </c>
      <c r="F324" s="6">
        <v>23240.400000000001</v>
      </c>
      <c r="G324" s="4" t="s">
        <v>22</v>
      </c>
      <c r="H324" s="9">
        <v>15000</v>
      </c>
      <c r="I324" s="8" cm="1">
        <f t="array" ref="I324">IF(F324 &gt;= H324,F324 * commission, 0)</f>
        <v>2324.0400000000004</v>
      </c>
    </row>
    <row r="325" spans="1:9">
      <c r="A325" s="5">
        <v>44470</v>
      </c>
      <c r="B325" s="4" t="s">
        <v>44</v>
      </c>
      <c r="C325" s="4" t="s">
        <v>45</v>
      </c>
      <c r="D325" s="4" t="s">
        <v>46</v>
      </c>
      <c r="E325" s="4" t="s">
        <v>3</v>
      </c>
      <c r="F325" s="6">
        <v>41989.599999999999</v>
      </c>
      <c r="G325" s="4" t="s">
        <v>27</v>
      </c>
      <c r="H325" s="9">
        <v>15000</v>
      </c>
      <c r="I325" s="8" cm="1">
        <f t="array" ref="I325">IF(F325 &gt;= H325,F325 * commission, 0)</f>
        <v>4198.96</v>
      </c>
    </row>
    <row r="326" spans="1:9">
      <c r="A326" s="5">
        <v>44470</v>
      </c>
      <c r="B326" s="4" t="s">
        <v>53</v>
      </c>
      <c r="C326" s="4" t="s">
        <v>54</v>
      </c>
      <c r="D326" s="4" t="s">
        <v>55</v>
      </c>
      <c r="E326" s="4" t="s">
        <v>5</v>
      </c>
      <c r="F326" s="6">
        <v>2997.2</v>
      </c>
      <c r="G326" s="4" t="s">
        <v>27</v>
      </c>
      <c r="H326" s="9">
        <v>15000</v>
      </c>
      <c r="I326" s="8" cm="1">
        <f t="array" ref="I326">IF(F326 &gt;= H326,F326 * commission, 0)</f>
        <v>0</v>
      </c>
    </row>
    <row r="327" spans="1:9">
      <c r="A327" s="5">
        <v>44470</v>
      </c>
      <c r="B327" s="4" t="s">
        <v>74</v>
      </c>
      <c r="C327" s="4" t="s">
        <v>75</v>
      </c>
      <c r="D327" s="4" t="s">
        <v>76</v>
      </c>
      <c r="E327" s="4" t="s">
        <v>5</v>
      </c>
      <c r="F327" s="6">
        <v>7195.9999999999991</v>
      </c>
      <c r="G327" s="4" t="s">
        <v>22</v>
      </c>
      <c r="H327" s="9">
        <v>15000</v>
      </c>
      <c r="I327" s="8" cm="1">
        <f t="array" ref="I327">IF(F327 &gt;= H327,F327 * commission, 0)</f>
        <v>0</v>
      </c>
    </row>
    <row r="328" spans="1:9">
      <c r="A328" s="5">
        <v>44470</v>
      </c>
      <c r="B328" s="4" t="s">
        <v>59</v>
      </c>
      <c r="C328" s="4" t="s">
        <v>60</v>
      </c>
      <c r="D328" s="4" t="s">
        <v>61</v>
      </c>
      <c r="E328" s="4" t="s">
        <v>5</v>
      </c>
      <c r="F328" s="6">
        <v>10595.2</v>
      </c>
      <c r="G328" s="4" t="s">
        <v>28</v>
      </c>
      <c r="H328" s="9">
        <v>15000</v>
      </c>
      <c r="I328" s="8" cm="1">
        <f t="array" ref="I328">IF(F328 &gt;= H328,F328 * commission, 0)</f>
        <v>0</v>
      </c>
    </row>
    <row r="329" spans="1:9">
      <c r="A329" s="5">
        <v>44470</v>
      </c>
      <c r="B329" s="4" t="s">
        <v>74</v>
      </c>
      <c r="C329" s="4" t="s">
        <v>75</v>
      </c>
      <c r="D329" s="4" t="s">
        <v>76</v>
      </c>
      <c r="E329" s="4" t="s">
        <v>5</v>
      </c>
      <c r="F329" s="6">
        <v>10694.7</v>
      </c>
      <c r="G329" s="4" t="s">
        <v>28</v>
      </c>
      <c r="H329" s="9">
        <v>15000</v>
      </c>
      <c r="I329" s="8" cm="1">
        <f t="array" ref="I329">IF(F329 &gt;= H329,F329 * commission, 0)</f>
        <v>0</v>
      </c>
    </row>
    <row r="330" spans="1:9">
      <c r="A330" s="5">
        <v>44470</v>
      </c>
      <c r="B330" s="4" t="s">
        <v>59</v>
      </c>
      <c r="C330" s="4" t="s">
        <v>60</v>
      </c>
      <c r="D330" s="4" t="s">
        <v>61</v>
      </c>
      <c r="E330" s="4" t="s">
        <v>5</v>
      </c>
      <c r="F330" s="6">
        <v>14235.4</v>
      </c>
      <c r="G330" s="4" t="s">
        <v>28</v>
      </c>
      <c r="H330" s="9">
        <v>15000</v>
      </c>
      <c r="I330" s="8" cm="1">
        <f t="array" ref="I330">IF(F330 &gt;= H330,F330 * commission, 0)</f>
        <v>0</v>
      </c>
    </row>
    <row r="331" spans="1:9">
      <c r="A331" s="5">
        <v>44470</v>
      </c>
      <c r="B331" s="4" t="s">
        <v>59</v>
      </c>
      <c r="C331" s="4" t="s">
        <v>60</v>
      </c>
      <c r="D331" s="4" t="s">
        <v>61</v>
      </c>
      <c r="E331" s="4" t="s">
        <v>5</v>
      </c>
      <c r="F331" s="6">
        <v>36530.199999999997</v>
      </c>
      <c r="G331" s="4" t="s">
        <v>22</v>
      </c>
      <c r="H331" s="9">
        <v>15000</v>
      </c>
      <c r="I331" s="8" cm="1">
        <f t="array" ref="I331">IF(F331 &gt;= H331,F331 * commission, 0)</f>
        <v>3653.02</v>
      </c>
    </row>
    <row r="332" spans="1:9">
      <c r="A332" s="5">
        <v>44470</v>
      </c>
      <c r="B332" s="4" t="s">
        <v>62</v>
      </c>
      <c r="C332" s="4" t="s">
        <v>63</v>
      </c>
      <c r="D332" s="4" t="s">
        <v>64</v>
      </c>
      <c r="E332" s="4" t="s">
        <v>5</v>
      </c>
      <c r="F332" s="6">
        <v>36896.199999999997</v>
      </c>
      <c r="G332" s="4" t="s">
        <v>28</v>
      </c>
      <c r="H332" s="9">
        <v>15000</v>
      </c>
      <c r="I332" s="8" cm="1">
        <f t="array" ref="I332">IF(F332 &gt;= H332,F332 * commission, 0)</f>
        <v>3689.62</v>
      </c>
    </row>
    <row r="333" spans="1:9">
      <c r="A333" s="5">
        <v>44470</v>
      </c>
      <c r="B333" s="4" t="s">
        <v>53</v>
      </c>
      <c r="C333" s="4" t="s">
        <v>54</v>
      </c>
      <c r="D333" s="4" t="s">
        <v>55</v>
      </c>
      <c r="E333" s="4" t="s">
        <v>5</v>
      </c>
      <c r="F333" s="6">
        <v>41420.699999999997</v>
      </c>
      <c r="G333" s="4" t="s">
        <v>27</v>
      </c>
      <c r="H333" s="9">
        <v>15000</v>
      </c>
      <c r="I333" s="8" cm="1">
        <f t="array" ref="I333">IF(F333 &gt;= H333,F333 * commission, 0)</f>
        <v>4142.07</v>
      </c>
    </row>
    <row r="334" spans="1:9">
      <c r="A334" s="5">
        <v>44501</v>
      </c>
      <c r="B334" s="4" t="s">
        <v>32</v>
      </c>
      <c r="C334" s="4" t="s">
        <v>33</v>
      </c>
      <c r="D334" s="4" t="s">
        <v>34</v>
      </c>
      <c r="E334" s="4" t="s">
        <v>4</v>
      </c>
      <c r="F334" s="6">
        <v>5130</v>
      </c>
      <c r="G334" s="4" t="s">
        <v>22</v>
      </c>
      <c r="H334" s="9">
        <v>15000</v>
      </c>
      <c r="I334" s="8" cm="1">
        <f t="array" ref="I334">IF(F334 &gt;= H334,F334 * commission, 0)</f>
        <v>0</v>
      </c>
    </row>
    <row r="335" spans="1:9">
      <c r="A335" s="5">
        <v>44501</v>
      </c>
      <c r="B335" s="4" t="s">
        <v>29</v>
      </c>
      <c r="C335" s="4" t="s">
        <v>30</v>
      </c>
      <c r="D335" s="4" t="s">
        <v>31</v>
      </c>
      <c r="E335" s="4" t="s">
        <v>4</v>
      </c>
      <c r="F335" s="6">
        <v>8810.9</v>
      </c>
      <c r="G335" s="4" t="s">
        <v>27</v>
      </c>
      <c r="H335" s="9">
        <v>15000</v>
      </c>
      <c r="I335" s="8" cm="1">
        <f t="array" ref="I335">IF(F335 &gt;= H335,F335 * commission, 0)</f>
        <v>0</v>
      </c>
    </row>
    <row r="336" spans="1:9">
      <c r="A336" s="5">
        <v>44501</v>
      </c>
      <c r="B336" s="4" t="s">
        <v>65</v>
      </c>
      <c r="C336" s="4" t="s">
        <v>66</v>
      </c>
      <c r="D336" s="4" t="s">
        <v>67</v>
      </c>
      <c r="E336" s="4" t="s">
        <v>4</v>
      </c>
      <c r="F336" s="6">
        <v>16606</v>
      </c>
      <c r="G336" s="4" t="s">
        <v>27</v>
      </c>
      <c r="H336" s="9">
        <v>15000</v>
      </c>
      <c r="I336" s="8" cm="1">
        <f t="array" ref="I336">IF(F336 &gt;= H336,F336 * commission, 0)</f>
        <v>1660.6000000000001</v>
      </c>
    </row>
    <row r="337" spans="1:9">
      <c r="A337" s="5">
        <v>44501</v>
      </c>
      <c r="B337" s="4" t="s">
        <v>32</v>
      </c>
      <c r="C337" s="4" t="s">
        <v>33</v>
      </c>
      <c r="D337" s="4" t="s">
        <v>34</v>
      </c>
      <c r="E337" s="4" t="s">
        <v>4</v>
      </c>
      <c r="F337" s="6">
        <v>17766</v>
      </c>
      <c r="G337" s="4" t="s">
        <v>27</v>
      </c>
      <c r="H337" s="9">
        <v>15000</v>
      </c>
      <c r="I337" s="8" cm="1">
        <f t="array" ref="I337">IF(F337 &gt;= H337,F337 * commission, 0)</f>
        <v>1776.6000000000001</v>
      </c>
    </row>
    <row r="338" spans="1:9">
      <c r="A338" s="5">
        <v>44501</v>
      </c>
      <c r="B338" s="4" t="s">
        <v>19</v>
      </c>
      <c r="C338" s="4" t="s">
        <v>20</v>
      </c>
      <c r="D338" s="4" t="s">
        <v>21</v>
      </c>
      <c r="E338" s="4" t="s">
        <v>4</v>
      </c>
      <c r="F338" s="6">
        <v>20916</v>
      </c>
      <c r="G338" s="4" t="s">
        <v>27</v>
      </c>
      <c r="H338" s="9">
        <v>15000</v>
      </c>
      <c r="I338" s="8" cm="1">
        <f t="array" ref="I338">IF(F338 &gt;= H338,F338 * commission, 0)</f>
        <v>2091.6</v>
      </c>
    </row>
    <row r="339" spans="1:9">
      <c r="A339" s="5">
        <v>44501</v>
      </c>
      <c r="B339" s="4" t="s">
        <v>19</v>
      </c>
      <c r="C339" s="4" t="s">
        <v>20</v>
      </c>
      <c r="D339" s="4" t="s">
        <v>21</v>
      </c>
      <c r="E339" s="4" t="s">
        <v>4</v>
      </c>
      <c r="F339" s="6">
        <v>22396.5</v>
      </c>
      <c r="G339" s="4" t="s">
        <v>28</v>
      </c>
      <c r="H339" s="9">
        <v>15000</v>
      </c>
      <c r="I339" s="8" cm="1">
        <f t="array" ref="I339">IF(F339 &gt;= H339,F339 * commission, 0)</f>
        <v>2239.65</v>
      </c>
    </row>
    <row r="340" spans="1:9">
      <c r="A340" s="5">
        <v>44501</v>
      </c>
      <c r="B340" s="4" t="s">
        <v>32</v>
      </c>
      <c r="C340" s="4" t="s">
        <v>33</v>
      </c>
      <c r="D340" s="4" t="s">
        <v>34</v>
      </c>
      <c r="E340" s="4" t="s">
        <v>4</v>
      </c>
      <c r="F340" s="6">
        <v>25633.5</v>
      </c>
      <c r="G340" s="4" t="s">
        <v>22</v>
      </c>
      <c r="H340" s="9">
        <v>15000</v>
      </c>
      <c r="I340" s="8" cm="1">
        <f t="array" ref="I340">IF(F340 &gt;= H340,F340 * commission, 0)</f>
        <v>2563.3500000000004</v>
      </c>
    </row>
    <row r="341" spans="1:9">
      <c r="A341" s="5">
        <v>44501</v>
      </c>
      <c r="B341" s="4" t="s">
        <v>19</v>
      </c>
      <c r="C341" s="4" t="s">
        <v>20</v>
      </c>
      <c r="D341" s="4" t="s">
        <v>21</v>
      </c>
      <c r="E341" s="4" t="s">
        <v>4</v>
      </c>
      <c r="F341" s="6">
        <v>37374.399999999994</v>
      </c>
      <c r="G341" s="4" t="s">
        <v>28</v>
      </c>
      <c r="H341" s="9">
        <v>15000</v>
      </c>
      <c r="I341" s="8" cm="1">
        <f t="array" ref="I341">IF(F341 &gt;= H341,F341 * commission, 0)</f>
        <v>3737.4399999999996</v>
      </c>
    </row>
    <row r="342" spans="1:9">
      <c r="A342" s="5">
        <v>44501</v>
      </c>
      <c r="B342" s="4" t="s">
        <v>68</v>
      </c>
      <c r="C342" s="4" t="s">
        <v>69</v>
      </c>
      <c r="D342" s="4" t="s">
        <v>70</v>
      </c>
      <c r="E342" s="4" t="s">
        <v>2</v>
      </c>
      <c r="F342" s="6">
        <v>9292.5</v>
      </c>
      <c r="G342" s="4" t="s">
        <v>22</v>
      </c>
      <c r="H342" s="9">
        <v>15000</v>
      </c>
      <c r="I342" s="8" cm="1">
        <f t="array" ref="I342">IF(F342 &gt;= H342,F342 * commission, 0)</f>
        <v>0</v>
      </c>
    </row>
    <row r="343" spans="1:9">
      <c r="A343" s="5">
        <v>44501</v>
      </c>
      <c r="B343" s="4" t="s">
        <v>38</v>
      </c>
      <c r="C343" s="4" t="s">
        <v>39</v>
      </c>
      <c r="D343" s="4" t="s">
        <v>40</v>
      </c>
      <c r="E343" s="4" t="s">
        <v>2</v>
      </c>
      <c r="F343" s="6">
        <v>28761.599999999999</v>
      </c>
      <c r="G343" s="4" t="s">
        <v>28</v>
      </c>
      <c r="H343" s="9">
        <v>15000</v>
      </c>
      <c r="I343" s="8" cm="1">
        <f t="array" ref="I343">IF(F343 &gt;= H343,F343 * commission, 0)</f>
        <v>2876.16</v>
      </c>
    </row>
    <row r="344" spans="1:9">
      <c r="A344" s="5">
        <v>44501</v>
      </c>
      <c r="B344" s="4" t="s">
        <v>80</v>
      </c>
      <c r="C344" s="4" t="s">
        <v>81</v>
      </c>
      <c r="D344" s="4" t="s">
        <v>82</v>
      </c>
      <c r="E344" s="4" t="s">
        <v>2</v>
      </c>
      <c r="F344" s="6">
        <v>41932.799999999996</v>
      </c>
      <c r="G344" s="4" t="s">
        <v>27</v>
      </c>
      <c r="H344" s="9">
        <v>15000</v>
      </c>
      <c r="I344" s="8" cm="1">
        <f t="array" ref="I344">IF(F344 &gt;= H344,F344 * commission, 0)</f>
        <v>4193.28</v>
      </c>
    </row>
    <row r="345" spans="1:9">
      <c r="A345" s="5">
        <v>44501</v>
      </c>
      <c r="B345" s="4" t="s">
        <v>35</v>
      </c>
      <c r="C345" s="4" t="s">
        <v>36</v>
      </c>
      <c r="D345" s="4" t="s">
        <v>37</v>
      </c>
      <c r="E345" s="4" t="s">
        <v>2</v>
      </c>
      <c r="F345" s="6">
        <v>42427</v>
      </c>
      <c r="G345" s="4" t="s">
        <v>22</v>
      </c>
      <c r="H345" s="9">
        <v>15000</v>
      </c>
      <c r="I345" s="8" cm="1">
        <f t="array" ref="I345">IF(F345 &gt;= H345,F345 * commission, 0)</f>
        <v>4242.7</v>
      </c>
    </row>
    <row r="346" spans="1:9">
      <c r="A346" s="5">
        <v>44501</v>
      </c>
      <c r="B346" s="4" t="s">
        <v>68</v>
      </c>
      <c r="C346" s="4" t="s">
        <v>69</v>
      </c>
      <c r="D346" s="4" t="s">
        <v>70</v>
      </c>
      <c r="E346" s="4" t="s">
        <v>2</v>
      </c>
      <c r="F346" s="6">
        <v>47510.400000000001</v>
      </c>
      <c r="G346" s="4" t="s">
        <v>22</v>
      </c>
      <c r="H346" s="9">
        <v>15000</v>
      </c>
      <c r="I346" s="8" cm="1">
        <f t="array" ref="I346">IF(F346 &gt;= H346,F346 * commission, 0)</f>
        <v>4751.04</v>
      </c>
    </row>
    <row r="347" spans="1:9">
      <c r="A347" s="5">
        <v>44501</v>
      </c>
      <c r="B347" s="4" t="s">
        <v>47</v>
      </c>
      <c r="C347" s="4" t="s">
        <v>48</v>
      </c>
      <c r="D347" s="4" t="s">
        <v>49</v>
      </c>
      <c r="E347" s="4" t="s">
        <v>3</v>
      </c>
      <c r="F347" s="6">
        <v>9006</v>
      </c>
      <c r="G347" s="4" t="s">
        <v>28</v>
      </c>
      <c r="H347" s="9">
        <v>15000</v>
      </c>
      <c r="I347" s="8" cm="1">
        <f t="array" ref="I347">IF(F347 &gt;= H347,F347 * commission, 0)</f>
        <v>0</v>
      </c>
    </row>
    <row r="348" spans="1:9">
      <c r="A348" s="5">
        <v>44501</v>
      </c>
      <c r="B348" s="4" t="s">
        <v>44</v>
      </c>
      <c r="C348" s="4" t="s">
        <v>45</v>
      </c>
      <c r="D348" s="4" t="s">
        <v>46</v>
      </c>
      <c r="E348" s="4" t="s">
        <v>3</v>
      </c>
      <c r="F348" s="6">
        <v>10573.5</v>
      </c>
      <c r="G348" s="4" t="s">
        <v>27</v>
      </c>
      <c r="H348" s="9">
        <v>15000</v>
      </c>
      <c r="I348" s="8" cm="1">
        <f t="array" ref="I348">IF(F348 &gt;= H348,F348 * commission, 0)</f>
        <v>0</v>
      </c>
    </row>
    <row r="349" spans="1:9">
      <c r="A349" s="5">
        <v>44501</v>
      </c>
      <c r="B349" s="4" t="s">
        <v>50</v>
      </c>
      <c r="C349" s="4" t="s">
        <v>51</v>
      </c>
      <c r="D349" s="4" t="s">
        <v>52</v>
      </c>
      <c r="E349" s="4" t="s">
        <v>3</v>
      </c>
      <c r="F349" s="6">
        <v>13230</v>
      </c>
      <c r="G349" s="4" t="s">
        <v>22</v>
      </c>
      <c r="H349" s="9">
        <v>15000</v>
      </c>
      <c r="I349" s="8" cm="1">
        <f t="array" ref="I349">IF(F349 &gt;= H349,F349 * commission, 0)</f>
        <v>0</v>
      </c>
    </row>
    <row r="350" spans="1:9">
      <c r="A350" s="5">
        <v>44501</v>
      </c>
      <c r="B350" s="4" t="s">
        <v>41</v>
      </c>
      <c r="C350" s="4" t="s">
        <v>42</v>
      </c>
      <c r="D350" s="4" t="s">
        <v>43</v>
      </c>
      <c r="E350" s="4" t="s">
        <v>3</v>
      </c>
      <c r="F350" s="6">
        <v>15403.600000000002</v>
      </c>
      <c r="G350" s="4" t="s">
        <v>22</v>
      </c>
      <c r="H350" s="9">
        <v>15000</v>
      </c>
      <c r="I350" s="8" cm="1">
        <f t="array" ref="I350">IF(F350 &gt;= H350,F350 * commission, 0)</f>
        <v>1540.3600000000004</v>
      </c>
    </row>
    <row r="351" spans="1:9">
      <c r="A351" s="5">
        <v>44501</v>
      </c>
      <c r="B351" s="4" t="s">
        <v>47</v>
      </c>
      <c r="C351" s="4" t="s">
        <v>48</v>
      </c>
      <c r="D351" s="4" t="s">
        <v>49</v>
      </c>
      <c r="E351" s="4" t="s">
        <v>3</v>
      </c>
      <c r="F351" s="6">
        <v>16394.399999999998</v>
      </c>
      <c r="G351" s="4" t="s">
        <v>22</v>
      </c>
      <c r="H351" s="9">
        <v>15000</v>
      </c>
      <c r="I351" s="8" cm="1">
        <f t="array" ref="I351">IF(F351 &gt;= H351,F351 * commission, 0)</f>
        <v>1639.4399999999998</v>
      </c>
    </row>
    <row r="352" spans="1:9">
      <c r="A352" s="5">
        <v>44501</v>
      </c>
      <c r="B352" s="4" t="s">
        <v>47</v>
      </c>
      <c r="C352" s="4" t="s">
        <v>48</v>
      </c>
      <c r="D352" s="4" t="s">
        <v>49</v>
      </c>
      <c r="E352" s="4" t="s">
        <v>3</v>
      </c>
      <c r="F352" s="6">
        <v>16606</v>
      </c>
      <c r="G352" s="4" t="s">
        <v>28</v>
      </c>
      <c r="H352" s="9">
        <v>15000</v>
      </c>
      <c r="I352" s="8" cm="1">
        <f t="array" ref="I352">IF(F352 &gt;= H352,F352 * commission, 0)</f>
        <v>1660.6000000000001</v>
      </c>
    </row>
    <row r="353" spans="1:9">
      <c r="A353" s="5">
        <v>44501</v>
      </c>
      <c r="B353" s="4" t="s">
        <v>41</v>
      </c>
      <c r="C353" s="4" t="s">
        <v>42</v>
      </c>
      <c r="D353" s="4" t="s">
        <v>43</v>
      </c>
      <c r="E353" s="4" t="s">
        <v>3</v>
      </c>
      <c r="F353" s="6">
        <v>18452.599999999999</v>
      </c>
      <c r="G353" s="4" t="s">
        <v>28</v>
      </c>
      <c r="H353" s="9">
        <v>15000</v>
      </c>
      <c r="I353" s="8" cm="1">
        <f t="array" ref="I353">IF(F353 &gt;= H353,F353 * commission, 0)</f>
        <v>1845.26</v>
      </c>
    </row>
    <row r="354" spans="1:9">
      <c r="A354" s="5">
        <v>44501</v>
      </c>
      <c r="B354" s="4" t="s">
        <v>44</v>
      </c>
      <c r="C354" s="4" t="s">
        <v>45</v>
      </c>
      <c r="D354" s="4" t="s">
        <v>46</v>
      </c>
      <c r="E354" s="4" t="s">
        <v>3</v>
      </c>
      <c r="F354" s="6">
        <v>20062.5</v>
      </c>
      <c r="G354" s="4" t="s">
        <v>27</v>
      </c>
      <c r="H354" s="9">
        <v>15000</v>
      </c>
      <c r="I354" s="8" cm="1">
        <f t="array" ref="I354">IF(F354 &gt;= H354,F354 * commission, 0)</f>
        <v>2006.25</v>
      </c>
    </row>
    <row r="355" spans="1:9">
      <c r="A355" s="5">
        <v>44501</v>
      </c>
      <c r="B355" s="4" t="s">
        <v>71</v>
      </c>
      <c r="C355" s="4" t="s">
        <v>72</v>
      </c>
      <c r="D355" s="4" t="s">
        <v>73</v>
      </c>
      <c r="E355" s="4" t="s">
        <v>3</v>
      </c>
      <c r="F355" s="6">
        <v>22900.499999999996</v>
      </c>
      <c r="G355" s="4" t="s">
        <v>27</v>
      </c>
      <c r="H355" s="9">
        <v>15000</v>
      </c>
      <c r="I355" s="8" cm="1">
        <f t="array" ref="I355">IF(F355 &gt;= H355,F355 * commission, 0)</f>
        <v>2290.0499999999997</v>
      </c>
    </row>
    <row r="356" spans="1:9">
      <c r="A356" s="5">
        <v>44501</v>
      </c>
      <c r="B356" s="4" t="s">
        <v>71</v>
      </c>
      <c r="C356" s="4" t="s">
        <v>72</v>
      </c>
      <c r="D356" s="4" t="s">
        <v>73</v>
      </c>
      <c r="E356" s="4" t="s">
        <v>3</v>
      </c>
      <c r="F356" s="6">
        <v>23057.999999999996</v>
      </c>
      <c r="G356" s="4" t="s">
        <v>28</v>
      </c>
      <c r="H356" s="9">
        <v>15000</v>
      </c>
      <c r="I356" s="8" cm="1">
        <f t="array" ref="I356">IF(F356 &gt;= H356,F356 * commission, 0)</f>
        <v>2305.7999999999997</v>
      </c>
    </row>
    <row r="357" spans="1:9">
      <c r="A357" s="5">
        <v>44501</v>
      </c>
      <c r="B357" s="4" t="s">
        <v>47</v>
      </c>
      <c r="C357" s="4" t="s">
        <v>48</v>
      </c>
      <c r="D357" s="4" t="s">
        <v>49</v>
      </c>
      <c r="E357" s="4" t="s">
        <v>3</v>
      </c>
      <c r="F357" s="6">
        <v>37560</v>
      </c>
      <c r="G357" s="4" t="s">
        <v>28</v>
      </c>
      <c r="H357" s="9">
        <v>15000</v>
      </c>
      <c r="I357" s="8" cm="1">
        <f t="array" ref="I357">IF(F357 &gt;= H357,F357 * commission, 0)</f>
        <v>3756</v>
      </c>
    </row>
    <row r="358" spans="1:9">
      <c r="A358" s="5">
        <v>44501</v>
      </c>
      <c r="B358" s="4" t="s">
        <v>44</v>
      </c>
      <c r="C358" s="4" t="s">
        <v>45</v>
      </c>
      <c r="D358" s="4" t="s">
        <v>46</v>
      </c>
      <c r="E358" s="4" t="s">
        <v>3</v>
      </c>
      <c r="F358" s="6">
        <v>38570</v>
      </c>
      <c r="G358" s="4" t="s">
        <v>27</v>
      </c>
      <c r="H358" s="9">
        <v>15000</v>
      </c>
      <c r="I358" s="8" cm="1">
        <f t="array" ref="I358">IF(F358 &gt;= H358,F358 * commission, 0)</f>
        <v>3857</v>
      </c>
    </row>
    <row r="359" spans="1:9">
      <c r="A359" s="5">
        <v>44501</v>
      </c>
      <c r="B359" s="4" t="s">
        <v>41</v>
      </c>
      <c r="C359" s="4" t="s">
        <v>42</v>
      </c>
      <c r="D359" s="4" t="s">
        <v>43</v>
      </c>
      <c r="E359" s="4" t="s">
        <v>3</v>
      </c>
      <c r="F359" s="6">
        <v>39199.599999999999</v>
      </c>
      <c r="G359" s="4" t="s">
        <v>28</v>
      </c>
      <c r="H359" s="9">
        <v>15000</v>
      </c>
      <c r="I359" s="8" cm="1">
        <f t="array" ref="I359">IF(F359 &gt;= H359,F359 * commission, 0)</f>
        <v>3919.96</v>
      </c>
    </row>
    <row r="360" spans="1:9">
      <c r="A360" s="5">
        <v>44501</v>
      </c>
      <c r="B360" s="4" t="s">
        <v>59</v>
      </c>
      <c r="C360" s="4" t="s">
        <v>60</v>
      </c>
      <c r="D360" s="4" t="s">
        <v>61</v>
      </c>
      <c r="E360" s="4" t="s">
        <v>5</v>
      </c>
      <c r="F360" s="6">
        <v>6900</v>
      </c>
      <c r="G360" s="4" t="s">
        <v>22</v>
      </c>
      <c r="H360" s="9">
        <v>15000</v>
      </c>
      <c r="I360" s="8" cm="1">
        <f t="array" ref="I360">IF(F360 &gt;= H360,F360 * commission, 0)</f>
        <v>0</v>
      </c>
    </row>
    <row r="361" spans="1:9">
      <c r="A361" s="5">
        <v>44501</v>
      </c>
      <c r="B361" s="4" t="s">
        <v>62</v>
      </c>
      <c r="C361" s="4" t="s">
        <v>63</v>
      </c>
      <c r="D361" s="4" t="s">
        <v>64</v>
      </c>
      <c r="E361" s="4" t="s">
        <v>5</v>
      </c>
      <c r="F361" s="6">
        <v>9683</v>
      </c>
      <c r="G361" s="4" t="s">
        <v>28</v>
      </c>
      <c r="H361" s="9">
        <v>15000</v>
      </c>
      <c r="I361" s="8" cm="1">
        <f t="array" ref="I361">IF(F361 &gt;= H361,F361 * commission, 0)</f>
        <v>0</v>
      </c>
    </row>
    <row r="362" spans="1:9">
      <c r="A362" s="5">
        <v>44501</v>
      </c>
      <c r="B362" s="4" t="s">
        <v>56</v>
      </c>
      <c r="C362" s="4" t="s">
        <v>57</v>
      </c>
      <c r="D362" s="4" t="s">
        <v>58</v>
      </c>
      <c r="E362" s="4" t="s">
        <v>5</v>
      </c>
      <c r="F362" s="6">
        <v>14302.9</v>
      </c>
      <c r="G362" s="4" t="s">
        <v>27</v>
      </c>
      <c r="H362" s="9">
        <v>15000</v>
      </c>
      <c r="I362" s="8" cm="1">
        <f t="array" ref="I362">IF(F362 &gt;= H362,F362 * commission, 0)</f>
        <v>0</v>
      </c>
    </row>
    <row r="363" spans="1:9">
      <c r="A363" s="5">
        <v>44501</v>
      </c>
      <c r="B363" s="4" t="s">
        <v>53</v>
      </c>
      <c r="C363" s="4" t="s">
        <v>54</v>
      </c>
      <c r="D363" s="4" t="s">
        <v>55</v>
      </c>
      <c r="E363" s="4" t="s">
        <v>5</v>
      </c>
      <c r="F363" s="6">
        <v>16806.400000000001</v>
      </c>
      <c r="G363" s="4" t="s">
        <v>27</v>
      </c>
      <c r="H363" s="9">
        <v>15000</v>
      </c>
      <c r="I363" s="8" cm="1">
        <f t="array" ref="I363">IF(F363 &gt;= H363,F363 * commission, 0)</f>
        <v>1680.6400000000003</v>
      </c>
    </row>
    <row r="364" spans="1:9">
      <c r="A364" s="5">
        <v>44501</v>
      </c>
      <c r="B364" s="4" t="s">
        <v>74</v>
      </c>
      <c r="C364" s="4" t="s">
        <v>75</v>
      </c>
      <c r="D364" s="4" t="s">
        <v>76</v>
      </c>
      <c r="E364" s="4" t="s">
        <v>5</v>
      </c>
      <c r="F364" s="6">
        <v>20797.200000000004</v>
      </c>
      <c r="G364" s="4" t="s">
        <v>22</v>
      </c>
      <c r="H364" s="9">
        <v>15000</v>
      </c>
      <c r="I364" s="8" cm="1">
        <f t="array" ref="I364">IF(F364 &gt;= H364,F364 * commission, 0)</f>
        <v>2079.7200000000007</v>
      </c>
    </row>
    <row r="365" spans="1:9">
      <c r="A365" s="5">
        <v>44501</v>
      </c>
      <c r="B365" s="4" t="s">
        <v>62</v>
      </c>
      <c r="C365" s="4" t="s">
        <v>63</v>
      </c>
      <c r="D365" s="4" t="s">
        <v>64</v>
      </c>
      <c r="E365" s="4" t="s">
        <v>5</v>
      </c>
      <c r="F365" s="6">
        <v>26866</v>
      </c>
      <c r="G365" s="4" t="s">
        <v>28</v>
      </c>
      <c r="H365" s="9">
        <v>15000</v>
      </c>
      <c r="I365" s="8" cm="1">
        <f t="array" ref="I365">IF(F365 &gt;= H365,F365 * commission, 0)</f>
        <v>2686.6000000000004</v>
      </c>
    </row>
    <row r="366" spans="1:9">
      <c r="A366" s="5">
        <v>44531</v>
      </c>
      <c r="B366" s="4" t="s">
        <v>32</v>
      </c>
      <c r="C366" s="4" t="s">
        <v>33</v>
      </c>
      <c r="D366" s="4" t="s">
        <v>34</v>
      </c>
      <c r="E366" s="4" t="s">
        <v>4</v>
      </c>
      <c r="F366" s="6">
        <v>3817.9999999999995</v>
      </c>
      <c r="G366" s="4" t="s">
        <v>27</v>
      </c>
      <c r="H366" s="9">
        <v>15000</v>
      </c>
      <c r="I366" s="8" cm="1">
        <f t="array" ref="I366">IF(F366 &gt;= H366,F366 * commission, 0)</f>
        <v>0</v>
      </c>
    </row>
    <row r="367" spans="1:9">
      <c r="A367" s="5">
        <v>44531</v>
      </c>
      <c r="B367" s="4" t="s">
        <v>19</v>
      </c>
      <c r="C367" s="4" t="s">
        <v>20</v>
      </c>
      <c r="D367" s="4" t="s">
        <v>21</v>
      </c>
      <c r="E367" s="4" t="s">
        <v>4</v>
      </c>
      <c r="F367" s="6">
        <v>8683.1999999999989</v>
      </c>
      <c r="G367" s="4" t="s">
        <v>22</v>
      </c>
      <c r="H367" s="9">
        <v>15000</v>
      </c>
      <c r="I367" s="8" cm="1">
        <f t="array" ref="I367">IF(F367 &gt;= H367,F367 * commission, 0)</f>
        <v>0</v>
      </c>
    </row>
    <row r="368" spans="1:9">
      <c r="A368" s="5">
        <v>44531</v>
      </c>
      <c r="B368" s="4" t="s">
        <v>29</v>
      </c>
      <c r="C368" s="4" t="s">
        <v>30</v>
      </c>
      <c r="D368" s="4" t="s">
        <v>31</v>
      </c>
      <c r="E368" s="4" t="s">
        <v>4</v>
      </c>
      <c r="F368" s="6">
        <v>11210</v>
      </c>
      <c r="G368" s="4" t="s">
        <v>28</v>
      </c>
      <c r="H368" s="9">
        <v>15000</v>
      </c>
      <c r="I368" s="8" cm="1">
        <f t="array" ref="I368">IF(F368 &gt;= H368,F368 * commission, 0)</f>
        <v>0</v>
      </c>
    </row>
    <row r="369" spans="1:9">
      <c r="A369" s="5">
        <v>44531</v>
      </c>
      <c r="B369" s="4" t="s">
        <v>65</v>
      </c>
      <c r="C369" s="4" t="s">
        <v>66</v>
      </c>
      <c r="D369" s="4" t="s">
        <v>67</v>
      </c>
      <c r="E369" s="4" t="s">
        <v>4</v>
      </c>
      <c r="F369" s="6">
        <v>12765.2</v>
      </c>
      <c r="G369" s="4" t="s">
        <v>28</v>
      </c>
      <c r="H369" s="9">
        <v>15000</v>
      </c>
      <c r="I369" s="8" cm="1">
        <f t="array" ref="I369">IF(F369 &gt;= H369,F369 * commission, 0)</f>
        <v>0</v>
      </c>
    </row>
    <row r="370" spans="1:9">
      <c r="A370" s="5">
        <v>44531</v>
      </c>
      <c r="B370" s="4" t="s">
        <v>32</v>
      </c>
      <c r="C370" s="4" t="s">
        <v>33</v>
      </c>
      <c r="D370" s="4" t="s">
        <v>34</v>
      </c>
      <c r="E370" s="4" t="s">
        <v>4</v>
      </c>
      <c r="F370" s="6">
        <v>15921.999999999998</v>
      </c>
      <c r="G370" s="4" t="s">
        <v>28</v>
      </c>
      <c r="H370" s="9">
        <v>15000</v>
      </c>
      <c r="I370" s="8" cm="1">
        <f t="array" ref="I370">IF(F370 &gt;= H370,F370 * commission, 0)</f>
        <v>1592.1999999999998</v>
      </c>
    </row>
    <row r="371" spans="1:9">
      <c r="A371" s="5">
        <v>44531</v>
      </c>
      <c r="B371" s="4" t="s">
        <v>65</v>
      </c>
      <c r="C371" s="4" t="s">
        <v>66</v>
      </c>
      <c r="D371" s="4" t="s">
        <v>67</v>
      </c>
      <c r="E371" s="4" t="s">
        <v>4</v>
      </c>
      <c r="F371" s="6">
        <v>31970.799999999999</v>
      </c>
      <c r="G371" s="4" t="s">
        <v>27</v>
      </c>
      <c r="H371" s="9">
        <v>15000</v>
      </c>
      <c r="I371" s="8" cm="1">
        <f t="array" ref="I371">IF(F371 &gt;= H371,F371 * commission, 0)</f>
        <v>3197.08</v>
      </c>
    </row>
    <row r="372" spans="1:9">
      <c r="A372" s="5">
        <v>44531</v>
      </c>
      <c r="B372" s="4" t="s">
        <v>29</v>
      </c>
      <c r="C372" s="4" t="s">
        <v>30</v>
      </c>
      <c r="D372" s="4" t="s">
        <v>31</v>
      </c>
      <c r="E372" s="4" t="s">
        <v>4</v>
      </c>
      <c r="F372" s="6">
        <v>41520</v>
      </c>
      <c r="G372" s="4" t="s">
        <v>27</v>
      </c>
      <c r="H372" s="9">
        <v>15000</v>
      </c>
      <c r="I372" s="8" cm="1">
        <f t="array" ref="I372">IF(F372 &gt;= H372,F372 * commission, 0)</f>
        <v>4152</v>
      </c>
    </row>
    <row r="373" spans="1:9">
      <c r="A373" s="5">
        <v>44531</v>
      </c>
      <c r="B373" s="4" t="s">
        <v>29</v>
      </c>
      <c r="C373" s="4" t="s">
        <v>30</v>
      </c>
      <c r="D373" s="4" t="s">
        <v>31</v>
      </c>
      <c r="E373" s="4" t="s">
        <v>4</v>
      </c>
      <c r="F373" s="6">
        <v>45800.999999999993</v>
      </c>
      <c r="G373" s="4" t="s">
        <v>22</v>
      </c>
      <c r="H373" s="9">
        <v>15000</v>
      </c>
      <c r="I373" s="8" cm="1">
        <f t="array" ref="I373">IF(F373 &gt;= H373,F373 * commission, 0)</f>
        <v>4580.0999999999995</v>
      </c>
    </row>
    <row r="374" spans="1:9">
      <c r="A374" s="5">
        <v>44531</v>
      </c>
      <c r="B374" s="4" t="s">
        <v>38</v>
      </c>
      <c r="C374" s="4" t="s">
        <v>39</v>
      </c>
      <c r="D374" s="4" t="s">
        <v>40</v>
      </c>
      <c r="E374" s="4" t="s">
        <v>2</v>
      </c>
      <c r="F374" s="6">
        <v>7721.5999999999995</v>
      </c>
      <c r="G374" s="4" t="s">
        <v>27</v>
      </c>
      <c r="H374" s="9">
        <v>15000</v>
      </c>
      <c r="I374" s="8" cm="1">
        <f t="array" ref="I374">IF(F374 &gt;= H374,F374 * commission, 0)</f>
        <v>0</v>
      </c>
    </row>
    <row r="375" spans="1:9">
      <c r="A375" s="5">
        <v>44531</v>
      </c>
      <c r="B375" s="4" t="s">
        <v>80</v>
      </c>
      <c r="C375" s="4" t="s">
        <v>81</v>
      </c>
      <c r="D375" s="4" t="s">
        <v>82</v>
      </c>
      <c r="E375" s="4" t="s">
        <v>2</v>
      </c>
      <c r="F375" s="6">
        <v>8925.7000000000007</v>
      </c>
      <c r="G375" s="4" t="s">
        <v>27</v>
      </c>
      <c r="H375" s="9">
        <v>15000</v>
      </c>
      <c r="I375" s="8" cm="1">
        <f t="array" ref="I375">IF(F375 &gt;= H375,F375 * commission, 0)</f>
        <v>0</v>
      </c>
    </row>
    <row r="376" spans="1:9">
      <c r="A376" s="5">
        <v>44531</v>
      </c>
      <c r="B376" s="4" t="s">
        <v>80</v>
      </c>
      <c r="C376" s="4" t="s">
        <v>81</v>
      </c>
      <c r="D376" s="4" t="s">
        <v>82</v>
      </c>
      <c r="E376" s="4" t="s">
        <v>2</v>
      </c>
      <c r="F376" s="6">
        <v>15802.6</v>
      </c>
      <c r="G376" s="4" t="s">
        <v>28</v>
      </c>
      <c r="H376" s="9">
        <v>15000</v>
      </c>
      <c r="I376" s="8" cm="1">
        <f t="array" ref="I376">IF(F376 &gt;= H376,F376 * commission, 0)</f>
        <v>1580.2600000000002</v>
      </c>
    </row>
    <row r="377" spans="1:9">
      <c r="A377" s="5">
        <v>44531</v>
      </c>
      <c r="B377" s="4" t="s">
        <v>68</v>
      </c>
      <c r="C377" s="4" t="s">
        <v>69</v>
      </c>
      <c r="D377" s="4" t="s">
        <v>70</v>
      </c>
      <c r="E377" s="4" t="s">
        <v>2</v>
      </c>
      <c r="F377" s="6">
        <v>21103.3</v>
      </c>
      <c r="G377" s="4" t="s">
        <v>28</v>
      </c>
      <c r="H377" s="9">
        <v>15000</v>
      </c>
      <c r="I377" s="8" cm="1">
        <f t="array" ref="I377">IF(F377 &gt;= H377,F377 * commission, 0)</f>
        <v>2110.33</v>
      </c>
    </row>
    <row r="378" spans="1:9">
      <c r="A378" s="5">
        <v>44531</v>
      </c>
      <c r="B378" s="4" t="s">
        <v>68</v>
      </c>
      <c r="C378" s="4" t="s">
        <v>69</v>
      </c>
      <c r="D378" s="4" t="s">
        <v>70</v>
      </c>
      <c r="E378" s="4" t="s">
        <v>2</v>
      </c>
      <c r="F378" s="6">
        <v>22351.100000000002</v>
      </c>
      <c r="G378" s="4" t="s">
        <v>28</v>
      </c>
      <c r="H378" s="9">
        <v>15000</v>
      </c>
      <c r="I378" s="8" cm="1">
        <f t="array" ref="I378">IF(F378 &gt;= H378,F378 * commission, 0)</f>
        <v>2235.11</v>
      </c>
    </row>
    <row r="379" spans="1:9">
      <c r="A379" s="5">
        <v>44531</v>
      </c>
      <c r="B379" s="4" t="s">
        <v>80</v>
      </c>
      <c r="C379" s="4" t="s">
        <v>81</v>
      </c>
      <c r="D379" s="4" t="s">
        <v>82</v>
      </c>
      <c r="E379" s="4" t="s">
        <v>2</v>
      </c>
      <c r="F379" s="6">
        <v>43974</v>
      </c>
      <c r="G379" s="4" t="s">
        <v>27</v>
      </c>
      <c r="H379" s="9">
        <v>15000</v>
      </c>
      <c r="I379" s="8" cm="1">
        <f t="array" ref="I379">IF(F379 &gt;= H379,F379 * commission, 0)</f>
        <v>4397.4000000000005</v>
      </c>
    </row>
    <row r="380" spans="1:9">
      <c r="A380" s="5">
        <v>44531</v>
      </c>
      <c r="B380" s="4" t="s">
        <v>47</v>
      </c>
      <c r="C380" s="4" t="s">
        <v>48</v>
      </c>
      <c r="D380" s="4" t="s">
        <v>49</v>
      </c>
      <c r="E380" s="4" t="s">
        <v>3</v>
      </c>
      <c r="F380" s="6">
        <v>8082.7999999999993</v>
      </c>
      <c r="G380" s="4" t="s">
        <v>27</v>
      </c>
      <c r="H380" s="9">
        <v>15000</v>
      </c>
      <c r="I380" s="8" cm="1">
        <f t="array" ref="I380">IF(F380 &gt;= H380,F380 * commission, 0)</f>
        <v>0</v>
      </c>
    </row>
    <row r="381" spans="1:9">
      <c r="A381" s="5">
        <v>44531</v>
      </c>
      <c r="B381" s="4" t="s">
        <v>44</v>
      </c>
      <c r="C381" s="4" t="s">
        <v>45</v>
      </c>
      <c r="D381" s="4" t="s">
        <v>46</v>
      </c>
      <c r="E381" s="4" t="s">
        <v>3</v>
      </c>
      <c r="F381" s="6">
        <v>9826.4</v>
      </c>
      <c r="G381" s="4" t="s">
        <v>28</v>
      </c>
      <c r="H381" s="9">
        <v>15000</v>
      </c>
      <c r="I381" s="8" cm="1">
        <f t="array" ref="I381">IF(F381 &gt;= H381,F381 * commission, 0)</f>
        <v>0</v>
      </c>
    </row>
    <row r="382" spans="1:9">
      <c r="A382" s="5">
        <v>44531</v>
      </c>
      <c r="B382" s="4" t="s">
        <v>71</v>
      </c>
      <c r="C382" s="4" t="s">
        <v>72</v>
      </c>
      <c r="D382" s="4" t="s">
        <v>73</v>
      </c>
      <c r="E382" s="4" t="s">
        <v>3</v>
      </c>
      <c r="F382" s="6">
        <v>12328</v>
      </c>
      <c r="G382" s="4" t="s">
        <v>22</v>
      </c>
      <c r="H382" s="9">
        <v>15000</v>
      </c>
      <c r="I382" s="8" cm="1">
        <f t="array" ref="I382">IF(F382 &gt;= H382,F382 * commission, 0)</f>
        <v>0</v>
      </c>
    </row>
    <row r="383" spans="1:9">
      <c r="A383" s="5">
        <v>44531</v>
      </c>
      <c r="B383" s="4" t="s">
        <v>47</v>
      </c>
      <c r="C383" s="4" t="s">
        <v>48</v>
      </c>
      <c r="D383" s="4" t="s">
        <v>49</v>
      </c>
      <c r="E383" s="4" t="s">
        <v>3</v>
      </c>
      <c r="F383" s="6">
        <v>24544</v>
      </c>
      <c r="G383" s="4" t="s">
        <v>22</v>
      </c>
      <c r="H383" s="9">
        <v>15000</v>
      </c>
      <c r="I383" s="8" cm="1">
        <f t="array" ref="I383">IF(F383 &gt;= H383,F383 * commission, 0)</f>
        <v>2454.4</v>
      </c>
    </row>
    <row r="384" spans="1:9">
      <c r="A384" s="5">
        <v>44531</v>
      </c>
      <c r="B384" s="4" t="s">
        <v>41</v>
      </c>
      <c r="C384" s="4" t="s">
        <v>42</v>
      </c>
      <c r="D384" s="4" t="s">
        <v>43</v>
      </c>
      <c r="E384" s="4" t="s">
        <v>3</v>
      </c>
      <c r="F384" s="6">
        <v>27350.400000000001</v>
      </c>
      <c r="G384" s="4" t="s">
        <v>28</v>
      </c>
      <c r="H384" s="9">
        <v>15000</v>
      </c>
      <c r="I384" s="8" cm="1">
        <f t="array" ref="I384">IF(F384 &gt;= H384,F384 * commission, 0)</f>
        <v>2735.0400000000004</v>
      </c>
    </row>
    <row r="385" spans="1:9">
      <c r="A385" s="5">
        <v>44531</v>
      </c>
      <c r="B385" s="4" t="s">
        <v>50</v>
      </c>
      <c r="C385" s="4" t="s">
        <v>51</v>
      </c>
      <c r="D385" s="4" t="s">
        <v>52</v>
      </c>
      <c r="E385" s="4" t="s">
        <v>3</v>
      </c>
      <c r="F385" s="6">
        <v>28845</v>
      </c>
      <c r="G385" s="4" t="s">
        <v>22</v>
      </c>
      <c r="H385" s="9">
        <v>15000</v>
      </c>
      <c r="I385" s="8" cm="1">
        <f t="array" ref="I385">IF(F385 &gt;= H385,F385 * commission, 0)</f>
        <v>2884.5</v>
      </c>
    </row>
    <row r="386" spans="1:9">
      <c r="A386" s="5">
        <v>44531</v>
      </c>
      <c r="B386" s="4" t="s">
        <v>41</v>
      </c>
      <c r="C386" s="4" t="s">
        <v>42</v>
      </c>
      <c r="D386" s="4" t="s">
        <v>43</v>
      </c>
      <c r="E386" s="4" t="s">
        <v>3</v>
      </c>
      <c r="F386" s="6">
        <v>43593.599999999999</v>
      </c>
      <c r="G386" s="4" t="s">
        <v>22</v>
      </c>
      <c r="H386" s="9">
        <v>15000</v>
      </c>
      <c r="I386" s="8" cm="1">
        <f t="array" ref="I386">IF(F386 &gt;= H386,F386 * commission, 0)</f>
        <v>4359.3599999999997</v>
      </c>
    </row>
    <row r="387" spans="1:9">
      <c r="A387" s="5">
        <v>44531</v>
      </c>
      <c r="B387" s="4" t="s">
        <v>62</v>
      </c>
      <c r="C387" s="4" t="s">
        <v>63</v>
      </c>
      <c r="D387" s="4" t="s">
        <v>64</v>
      </c>
      <c r="E387" s="4" t="s">
        <v>5</v>
      </c>
      <c r="F387" s="6">
        <v>7009.2000000000007</v>
      </c>
      <c r="G387" s="4" t="s">
        <v>22</v>
      </c>
      <c r="H387" s="9">
        <v>15000</v>
      </c>
      <c r="I387" s="8" cm="1">
        <f t="array" ref="I387">IF(F387 &gt;= H387,F387 * commission, 0)</f>
        <v>0</v>
      </c>
    </row>
    <row r="388" spans="1:9">
      <c r="A388" s="5">
        <v>44531</v>
      </c>
      <c r="B388" s="4" t="s">
        <v>59</v>
      </c>
      <c r="C388" s="4" t="s">
        <v>60</v>
      </c>
      <c r="D388" s="4" t="s">
        <v>61</v>
      </c>
      <c r="E388" s="4" t="s">
        <v>5</v>
      </c>
      <c r="F388" s="6">
        <v>7088.9</v>
      </c>
      <c r="G388" s="4" t="s">
        <v>27</v>
      </c>
      <c r="H388" s="9">
        <v>15000</v>
      </c>
      <c r="I388" s="8" cm="1">
        <f t="array" ref="I388">IF(F388 &gt;= H388,F388 * commission, 0)</f>
        <v>0</v>
      </c>
    </row>
    <row r="389" spans="1:9">
      <c r="A389" s="5">
        <v>44531</v>
      </c>
      <c r="B389" s="4" t="s">
        <v>62</v>
      </c>
      <c r="C389" s="4" t="s">
        <v>63</v>
      </c>
      <c r="D389" s="4" t="s">
        <v>64</v>
      </c>
      <c r="E389" s="4" t="s">
        <v>5</v>
      </c>
      <c r="F389" s="6">
        <v>8095.5</v>
      </c>
      <c r="G389" s="4" t="s">
        <v>27</v>
      </c>
      <c r="H389" s="9">
        <v>15000</v>
      </c>
      <c r="I389" s="8" cm="1">
        <f t="array" ref="I389">IF(F389 &gt;= H389,F389 * commission, 0)</f>
        <v>0</v>
      </c>
    </row>
    <row r="390" spans="1:9">
      <c r="A390" s="5">
        <v>44531</v>
      </c>
      <c r="B390" s="4" t="s">
        <v>53</v>
      </c>
      <c r="C390" s="4" t="s">
        <v>54</v>
      </c>
      <c r="D390" s="4" t="s">
        <v>55</v>
      </c>
      <c r="E390" s="4" t="s">
        <v>5</v>
      </c>
      <c r="F390" s="6">
        <v>8914.5</v>
      </c>
      <c r="G390" s="4" t="s">
        <v>27</v>
      </c>
      <c r="H390" s="9">
        <v>15000</v>
      </c>
      <c r="I390" s="8" cm="1">
        <f t="array" ref="I390">IF(F390 &gt;= H390,F390 * commission, 0)</f>
        <v>0</v>
      </c>
    </row>
    <row r="653" spans="1:7">
      <c r="A653" s="1" t="s">
        <v>83</v>
      </c>
      <c r="B653" s="2" t="s">
        <v>63</v>
      </c>
      <c r="E653" s="2" t="s">
        <v>5</v>
      </c>
      <c r="F653" s="7">
        <v>3637.21</v>
      </c>
      <c r="G653" s="2" t="s">
        <v>27</v>
      </c>
    </row>
    <row r="654" spans="1:7">
      <c r="A654" s="1" t="s">
        <v>83</v>
      </c>
      <c r="B654" s="2" t="s">
        <v>57</v>
      </c>
      <c r="E654" s="2" t="s">
        <v>5</v>
      </c>
      <c r="F654" s="7">
        <v>3918.6</v>
      </c>
      <c r="G654" s="2" t="s">
        <v>22</v>
      </c>
    </row>
    <row r="655" spans="1:7">
      <c r="A655" s="1" t="s">
        <v>83</v>
      </c>
      <c r="B655" s="2" t="s">
        <v>54</v>
      </c>
      <c r="E655" s="2" t="s">
        <v>5</v>
      </c>
      <c r="F655" s="7">
        <v>694.54</v>
      </c>
      <c r="G655" s="2" t="s">
        <v>28</v>
      </c>
    </row>
    <row r="656" spans="1:7">
      <c r="A656" s="1" t="s">
        <v>83</v>
      </c>
      <c r="B656" s="2" t="s">
        <v>63</v>
      </c>
      <c r="E656" s="2" t="s">
        <v>5</v>
      </c>
      <c r="F656" s="7">
        <v>3112.72</v>
      </c>
      <c r="G656" s="2" t="s">
        <v>28</v>
      </c>
    </row>
    <row r="657" spans="1:7">
      <c r="A657" s="1" t="s">
        <v>83</v>
      </c>
      <c r="B657" s="2" t="s">
        <v>54</v>
      </c>
      <c r="E657" s="2" t="s">
        <v>5</v>
      </c>
      <c r="F657" s="7">
        <v>1001.92</v>
      </c>
      <c r="G657" s="2" t="s">
        <v>28</v>
      </c>
    </row>
    <row r="658" spans="1:7">
      <c r="A658" s="1" t="s">
        <v>83</v>
      </c>
      <c r="B658" s="2" t="s">
        <v>60</v>
      </c>
      <c r="E658" s="2" t="s">
        <v>5</v>
      </c>
      <c r="F658" s="7">
        <v>1638.5600000000002</v>
      </c>
      <c r="G658" s="2" t="s">
        <v>27</v>
      </c>
    </row>
    <row r="659" spans="1:7">
      <c r="A659" s="1" t="s">
        <v>83</v>
      </c>
      <c r="B659" s="2" t="s">
        <v>57</v>
      </c>
      <c r="E659" s="2" t="s">
        <v>5</v>
      </c>
      <c r="F659" s="7">
        <v>1910.8</v>
      </c>
      <c r="G659" s="2" t="s">
        <v>22</v>
      </c>
    </row>
    <row r="660" spans="1:7">
      <c r="A660" s="1" t="s">
        <v>83</v>
      </c>
      <c r="B660" s="2" t="s">
        <v>54</v>
      </c>
      <c r="E660" s="2" t="s">
        <v>5</v>
      </c>
      <c r="F660" s="7">
        <v>765.82</v>
      </c>
      <c r="G660" s="2" t="s">
        <v>28</v>
      </c>
    </row>
    <row r="661" spans="1:7">
      <c r="A661" s="1" t="s">
        <v>83</v>
      </c>
      <c r="B661" s="2" t="s">
        <v>57</v>
      </c>
      <c r="E661" s="2" t="s">
        <v>5</v>
      </c>
      <c r="F661" s="7">
        <v>765.8599999999999</v>
      </c>
      <c r="G661" s="2" t="s">
        <v>22</v>
      </c>
    </row>
    <row r="662" spans="1:7">
      <c r="A662" s="1" t="s">
        <v>83</v>
      </c>
      <c r="B662" s="2" t="s">
        <v>63</v>
      </c>
      <c r="E662" s="2" t="s">
        <v>5</v>
      </c>
      <c r="F662" s="7">
        <v>4671.5999999999995</v>
      </c>
      <c r="G662" s="2" t="s">
        <v>27</v>
      </c>
    </row>
    <row r="663" spans="1:7">
      <c r="A663" s="1" t="s">
        <v>83</v>
      </c>
      <c r="B663" s="2" t="s">
        <v>54</v>
      </c>
      <c r="E663" s="2" t="s">
        <v>5</v>
      </c>
      <c r="F663" s="7">
        <v>1945.6</v>
      </c>
      <c r="G663" s="2" t="s">
        <v>27</v>
      </c>
    </row>
    <row r="664" spans="1:7">
      <c r="A664" s="1" t="s">
        <v>83</v>
      </c>
      <c r="B664" s="2" t="s">
        <v>57</v>
      </c>
      <c r="E664" s="2" t="s">
        <v>5</v>
      </c>
      <c r="F664" s="7">
        <v>1017.6</v>
      </c>
      <c r="G664" s="2" t="s">
        <v>22</v>
      </c>
    </row>
    <row r="665" spans="1:7">
      <c r="A665" s="1" t="s">
        <v>83</v>
      </c>
      <c r="B665" s="2" t="s">
        <v>60</v>
      </c>
      <c r="E665" s="2" t="s">
        <v>5</v>
      </c>
      <c r="F665" s="7">
        <v>909.86</v>
      </c>
      <c r="G665" s="2" t="s">
        <v>28</v>
      </c>
    </row>
    <row r="666" spans="1:7">
      <c r="A666" s="1" t="s">
        <v>84</v>
      </c>
      <c r="B666" s="2" t="s">
        <v>54</v>
      </c>
      <c r="E666" s="2" t="s">
        <v>5</v>
      </c>
      <c r="F666" s="7">
        <v>734.32</v>
      </c>
      <c r="G666" s="2" t="s">
        <v>22</v>
      </c>
    </row>
    <row r="667" spans="1:7">
      <c r="A667" s="1" t="s">
        <v>84</v>
      </c>
      <c r="B667" s="2" t="s">
        <v>54</v>
      </c>
      <c r="E667" s="2" t="s">
        <v>5</v>
      </c>
      <c r="F667" s="7">
        <v>2839.55</v>
      </c>
      <c r="G667" s="2" t="s">
        <v>28</v>
      </c>
    </row>
    <row r="668" spans="1:7">
      <c r="A668" s="1" t="s">
        <v>84</v>
      </c>
      <c r="B668" s="2" t="s">
        <v>54</v>
      </c>
      <c r="E668" s="2" t="s">
        <v>5</v>
      </c>
      <c r="F668" s="7">
        <v>453.09999999999997</v>
      </c>
      <c r="G668" s="2" t="s">
        <v>28</v>
      </c>
    </row>
    <row r="669" spans="1:7">
      <c r="A669" s="1" t="s">
        <v>84</v>
      </c>
      <c r="B669" s="2" t="s">
        <v>75</v>
      </c>
      <c r="E669" s="2" t="s">
        <v>5</v>
      </c>
      <c r="F669" s="7">
        <v>1774.8</v>
      </c>
      <c r="G669" s="2" t="s">
        <v>27</v>
      </c>
    </row>
    <row r="670" spans="1:7">
      <c r="A670" s="1" t="s">
        <v>84</v>
      </c>
      <c r="B670" s="2" t="s">
        <v>54</v>
      </c>
      <c r="E670" s="2" t="s">
        <v>5</v>
      </c>
      <c r="F670" s="7">
        <v>735.66</v>
      </c>
      <c r="G670" s="2" t="s">
        <v>27</v>
      </c>
    </row>
    <row r="671" spans="1:7">
      <c r="A671" s="1" t="s">
        <v>84</v>
      </c>
      <c r="B671" s="2" t="s">
        <v>75</v>
      </c>
      <c r="E671" s="2" t="s">
        <v>5</v>
      </c>
      <c r="F671" s="7">
        <v>675.18</v>
      </c>
      <c r="G671" s="2" t="s">
        <v>22</v>
      </c>
    </row>
    <row r="672" spans="1:7">
      <c r="A672" s="1" t="s">
        <v>84</v>
      </c>
      <c r="B672" s="2" t="s">
        <v>57</v>
      </c>
      <c r="E672" s="2" t="s">
        <v>5</v>
      </c>
      <c r="F672" s="7">
        <v>4142.95</v>
      </c>
      <c r="G672" s="2" t="s">
        <v>22</v>
      </c>
    </row>
    <row r="673" spans="1:7">
      <c r="A673" s="1" t="s">
        <v>85</v>
      </c>
      <c r="B673" s="2" t="s">
        <v>54</v>
      </c>
      <c r="E673" s="2" t="s">
        <v>5</v>
      </c>
      <c r="F673" s="7">
        <v>1045.1199999999999</v>
      </c>
      <c r="G673" s="2" t="s">
        <v>27</v>
      </c>
    </row>
    <row r="674" spans="1:7">
      <c r="A674" s="1" t="s">
        <v>85</v>
      </c>
      <c r="B674" s="2" t="s">
        <v>57</v>
      </c>
      <c r="E674" s="2" t="s">
        <v>5</v>
      </c>
      <c r="F674" s="7">
        <v>1432.95</v>
      </c>
      <c r="G674" s="2" t="s">
        <v>27</v>
      </c>
    </row>
    <row r="675" spans="1:7">
      <c r="A675" s="1" t="s">
        <v>85</v>
      </c>
      <c r="B675" s="2" t="s">
        <v>57</v>
      </c>
      <c r="E675" s="2" t="s">
        <v>5</v>
      </c>
      <c r="F675" s="7">
        <v>3140.7</v>
      </c>
      <c r="G675" s="2" t="s">
        <v>22</v>
      </c>
    </row>
    <row r="676" spans="1:7">
      <c r="A676" s="1" t="s">
        <v>85</v>
      </c>
      <c r="B676" s="2" t="s">
        <v>57</v>
      </c>
      <c r="E676" s="2" t="s">
        <v>5</v>
      </c>
      <c r="F676" s="7">
        <v>869.4</v>
      </c>
      <c r="G676" s="2" t="s">
        <v>27</v>
      </c>
    </row>
    <row r="677" spans="1:7">
      <c r="A677" s="1" t="s">
        <v>85</v>
      </c>
      <c r="B677" s="2" t="s">
        <v>60</v>
      </c>
      <c r="E677" s="2" t="s">
        <v>5</v>
      </c>
      <c r="F677" s="7">
        <v>3564.75</v>
      </c>
      <c r="G677" s="2" t="s">
        <v>28</v>
      </c>
    </row>
    <row r="678" spans="1:7">
      <c r="A678" s="1" t="s">
        <v>85</v>
      </c>
      <c r="B678" s="2" t="s">
        <v>57</v>
      </c>
      <c r="E678" s="2" t="s">
        <v>5</v>
      </c>
      <c r="F678" s="7">
        <v>911.6</v>
      </c>
      <c r="G678" s="2" t="s">
        <v>27</v>
      </c>
    </row>
    <row r="679" spans="1:7">
      <c r="A679" s="1" t="s">
        <v>85</v>
      </c>
      <c r="B679" s="2" t="s">
        <v>60</v>
      </c>
      <c r="E679" s="2" t="s">
        <v>5</v>
      </c>
      <c r="F679" s="7">
        <v>1011.0299999999999</v>
      </c>
      <c r="G679" s="2" t="s">
        <v>27</v>
      </c>
    </row>
    <row r="680" spans="1:7">
      <c r="A680" s="1" t="s">
        <v>85</v>
      </c>
      <c r="B680" s="2" t="s">
        <v>75</v>
      </c>
      <c r="E680" s="2" t="s">
        <v>5</v>
      </c>
      <c r="F680" s="7">
        <v>2795.68</v>
      </c>
      <c r="G680" s="2" t="s">
        <v>22</v>
      </c>
    </row>
    <row r="681" spans="1:7">
      <c r="A681" s="1" t="s">
        <v>85</v>
      </c>
      <c r="B681" s="2" t="s">
        <v>75</v>
      </c>
      <c r="E681" s="2" t="s">
        <v>5</v>
      </c>
      <c r="F681" s="7">
        <v>2767.09</v>
      </c>
      <c r="G681" s="2" t="s">
        <v>28</v>
      </c>
    </row>
    <row r="682" spans="1:7">
      <c r="A682" s="1" t="s">
        <v>85</v>
      </c>
      <c r="B682" s="2" t="s">
        <v>60</v>
      </c>
      <c r="E682" s="2" t="s">
        <v>5</v>
      </c>
      <c r="F682" s="7">
        <v>798.27</v>
      </c>
      <c r="G682" s="2" t="s">
        <v>28</v>
      </c>
    </row>
    <row r="683" spans="1:7">
      <c r="A683" s="1" t="s">
        <v>85</v>
      </c>
      <c r="B683" s="2" t="s">
        <v>75</v>
      </c>
      <c r="E683" s="2" t="s">
        <v>5</v>
      </c>
      <c r="F683" s="7">
        <v>2510.2399999999998</v>
      </c>
      <c r="G683" s="2" t="s">
        <v>22</v>
      </c>
    </row>
    <row r="684" spans="1:7">
      <c r="A684" s="1" t="s">
        <v>85</v>
      </c>
      <c r="B684" s="2" t="s">
        <v>60</v>
      </c>
      <c r="E684" s="2" t="s">
        <v>5</v>
      </c>
      <c r="F684" s="7">
        <v>3690.7200000000003</v>
      </c>
      <c r="G684" s="2" t="s">
        <v>22</v>
      </c>
    </row>
    <row r="685" spans="1:7">
      <c r="A685" s="1" t="s">
        <v>85</v>
      </c>
      <c r="B685" s="2" t="s">
        <v>63</v>
      </c>
      <c r="E685" s="2" t="s">
        <v>5</v>
      </c>
      <c r="F685" s="7">
        <v>670.89</v>
      </c>
      <c r="G685" s="2" t="s">
        <v>28</v>
      </c>
    </row>
    <row r="686" spans="1:7">
      <c r="A686" s="1" t="s">
        <v>85</v>
      </c>
      <c r="B686" s="2" t="s">
        <v>57</v>
      </c>
      <c r="E686" s="2" t="s">
        <v>5</v>
      </c>
      <c r="F686" s="7">
        <v>2012.8</v>
      </c>
      <c r="G686" s="2" t="s">
        <v>28</v>
      </c>
    </row>
    <row r="687" spans="1:7">
      <c r="A687" s="1" t="s">
        <v>85</v>
      </c>
      <c r="B687" s="2" t="s">
        <v>63</v>
      </c>
      <c r="E687" s="2" t="s">
        <v>5</v>
      </c>
      <c r="F687" s="7">
        <v>2116.7999999999997</v>
      </c>
      <c r="G687" s="2" t="s">
        <v>27</v>
      </c>
    </row>
    <row r="688" spans="1:7">
      <c r="A688" s="1" t="s">
        <v>85</v>
      </c>
      <c r="B688" s="2" t="s">
        <v>54</v>
      </c>
      <c r="E688" s="2" t="s">
        <v>5</v>
      </c>
      <c r="F688" s="7">
        <v>1158.04</v>
      </c>
      <c r="G688" s="2" t="s">
        <v>22</v>
      </c>
    </row>
    <row r="689" spans="1:7">
      <c r="A689" s="1" t="s">
        <v>86</v>
      </c>
      <c r="B689" s="2" t="s">
        <v>54</v>
      </c>
      <c r="E689" s="2" t="s">
        <v>5</v>
      </c>
      <c r="F689" s="7">
        <v>1171.6500000000001</v>
      </c>
      <c r="G689" s="2" t="s">
        <v>27</v>
      </c>
    </row>
    <row r="690" spans="1:7">
      <c r="A690" s="1" t="s">
        <v>86</v>
      </c>
      <c r="B690" s="2" t="s">
        <v>60</v>
      </c>
      <c r="E690" s="2" t="s">
        <v>5</v>
      </c>
      <c r="F690" s="7">
        <v>1696.8</v>
      </c>
      <c r="G690" s="2" t="s">
        <v>28</v>
      </c>
    </row>
    <row r="691" spans="1:7">
      <c r="A691" s="1" t="s">
        <v>86</v>
      </c>
      <c r="B691" s="2" t="s">
        <v>60</v>
      </c>
      <c r="E691" s="2" t="s">
        <v>5</v>
      </c>
      <c r="F691" s="7">
        <v>569.64</v>
      </c>
      <c r="G691" s="2" t="s">
        <v>27</v>
      </c>
    </row>
    <row r="692" spans="1:7">
      <c r="A692" s="1" t="s">
        <v>86</v>
      </c>
      <c r="B692" s="2" t="s">
        <v>60</v>
      </c>
      <c r="E692" s="2" t="s">
        <v>5</v>
      </c>
      <c r="F692" s="7">
        <v>1818.84</v>
      </c>
      <c r="G692" s="2" t="s">
        <v>22</v>
      </c>
    </row>
    <row r="693" spans="1:7">
      <c r="A693" s="1" t="s">
        <v>86</v>
      </c>
      <c r="B693" s="2" t="s">
        <v>57</v>
      </c>
      <c r="E693" s="2" t="s">
        <v>5</v>
      </c>
      <c r="F693" s="7">
        <v>1799.35</v>
      </c>
      <c r="G693" s="2" t="s">
        <v>27</v>
      </c>
    </row>
    <row r="694" spans="1:7">
      <c r="A694" s="1" t="s">
        <v>86</v>
      </c>
      <c r="B694" s="2" t="s">
        <v>54</v>
      </c>
      <c r="E694" s="2" t="s">
        <v>5</v>
      </c>
      <c r="F694" s="7">
        <v>1649.94</v>
      </c>
      <c r="G694" s="2" t="s">
        <v>22</v>
      </c>
    </row>
    <row r="695" spans="1:7">
      <c r="A695" s="1" t="s">
        <v>86</v>
      </c>
      <c r="B695" s="2" t="s">
        <v>63</v>
      </c>
      <c r="E695" s="2" t="s">
        <v>5</v>
      </c>
      <c r="F695" s="7">
        <v>1441.6</v>
      </c>
      <c r="G695" s="2" t="s">
        <v>28</v>
      </c>
    </row>
    <row r="696" spans="1:7">
      <c r="A696" s="1" t="s">
        <v>87</v>
      </c>
      <c r="B696" s="2" t="s">
        <v>63</v>
      </c>
      <c r="E696" s="2" t="s">
        <v>5</v>
      </c>
      <c r="F696" s="7">
        <v>900.48</v>
      </c>
      <c r="G696" s="2" t="s">
        <v>27</v>
      </c>
    </row>
    <row r="697" spans="1:7">
      <c r="A697" s="1" t="s">
        <v>87</v>
      </c>
      <c r="B697" s="2" t="s">
        <v>63</v>
      </c>
      <c r="E697" s="2" t="s">
        <v>5</v>
      </c>
      <c r="F697" s="7">
        <v>4224.91</v>
      </c>
      <c r="G697" s="2" t="s">
        <v>22</v>
      </c>
    </row>
    <row r="698" spans="1:7">
      <c r="A698" s="1" t="s">
        <v>87</v>
      </c>
      <c r="B698" s="2" t="s">
        <v>60</v>
      </c>
      <c r="E698" s="2" t="s">
        <v>5</v>
      </c>
      <c r="F698" s="7">
        <v>2399.7600000000002</v>
      </c>
      <c r="G698" s="2" t="s">
        <v>27</v>
      </c>
    </row>
    <row r="699" spans="1:7">
      <c r="A699" s="1" t="s">
        <v>87</v>
      </c>
      <c r="B699" s="2" t="s">
        <v>63</v>
      </c>
      <c r="E699" s="2" t="s">
        <v>5</v>
      </c>
      <c r="F699" s="7">
        <v>2791.64</v>
      </c>
      <c r="G699" s="2" t="s">
        <v>28</v>
      </c>
    </row>
    <row r="700" spans="1:7">
      <c r="A700" s="1" t="s">
        <v>87</v>
      </c>
      <c r="B700" s="2" t="s">
        <v>57</v>
      </c>
      <c r="E700" s="2" t="s">
        <v>5</v>
      </c>
      <c r="F700" s="7">
        <v>2071.7599999999998</v>
      </c>
      <c r="G700" s="2" t="s">
        <v>22</v>
      </c>
    </row>
    <row r="701" spans="1:7">
      <c r="A701" s="1" t="s">
        <v>87</v>
      </c>
      <c r="B701" s="2" t="s">
        <v>60</v>
      </c>
      <c r="E701" s="2" t="s">
        <v>5</v>
      </c>
      <c r="F701" s="7">
        <v>1983.64</v>
      </c>
      <c r="G701" s="2" t="s">
        <v>27</v>
      </c>
    </row>
    <row r="702" spans="1:7">
      <c r="A702" s="1" t="s">
        <v>87</v>
      </c>
      <c r="B702" s="2" t="s">
        <v>60</v>
      </c>
      <c r="E702" s="2" t="s">
        <v>5</v>
      </c>
      <c r="F702" s="7">
        <v>1961.75</v>
      </c>
      <c r="G702" s="2" t="s">
        <v>28</v>
      </c>
    </row>
    <row r="703" spans="1:7">
      <c r="A703" s="1" t="s">
        <v>87</v>
      </c>
      <c r="B703" s="2" t="s">
        <v>60</v>
      </c>
      <c r="E703" s="2" t="s">
        <v>5</v>
      </c>
      <c r="F703" s="7">
        <v>1882.64</v>
      </c>
      <c r="G703" s="2" t="s">
        <v>28</v>
      </c>
    </row>
    <row r="704" spans="1:7">
      <c r="A704" s="1" t="s">
        <v>87</v>
      </c>
      <c r="B704" s="2" t="s">
        <v>75</v>
      </c>
      <c r="E704" s="2" t="s">
        <v>5</v>
      </c>
      <c r="F704" s="7">
        <v>2336.4</v>
      </c>
      <c r="G704" s="2" t="s">
        <v>22</v>
      </c>
    </row>
    <row r="705" spans="1:7">
      <c r="A705" s="1" t="s">
        <v>88</v>
      </c>
      <c r="B705" s="2" t="s">
        <v>57</v>
      </c>
      <c r="E705" s="2" t="s">
        <v>5</v>
      </c>
      <c r="F705" s="7">
        <v>957.48</v>
      </c>
      <c r="G705" s="2" t="s">
        <v>22</v>
      </c>
    </row>
    <row r="706" spans="1:7">
      <c r="A706" s="1" t="s">
        <v>88</v>
      </c>
      <c r="B706" s="2" t="s">
        <v>75</v>
      </c>
      <c r="E706" s="2" t="s">
        <v>5</v>
      </c>
      <c r="F706" s="7">
        <v>1506.1200000000001</v>
      </c>
      <c r="G706" s="2" t="s">
        <v>22</v>
      </c>
    </row>
    <row r="707" spans="1:7">
      <c r="A707" s="1" t="s">
        <v>88</v>
      </c>
      <c r="B707" s="2" t="s">
        <v>75</v>
      </c>
      <c r="E707" s="2" t="s">
        <v>5</v>
      </c>
      <c r="F707" s="7">
        <v>3965.3900000000003</v>
      </c>
      <c r="G707" s="2" t="s">
        <v>28</v>
      </c>
    </row>
    <row r="708" spans="1:7">
      <c r="A708" s="1" t="s">
        <v>88</v>
      </c>
      <c r="B708" s="2" t="s">
        <v>63</v>
      </c>
      <c r="E708" s="2" t="s">
        <v>5</v>
      </c>
      <c r="F708" s="7">
        <v>3719.25</v>
      </c>
      <c r="G708" s="2" t="s">
        <v>28</v>
      </c>
    </row>
    <row r="709" spans="1:7">
      <c r="A709" s="1" t="s">
        <v>88</v>
      </c>
      <c r="B709" s="2" t="s">
        <v>57</v>
      </c>
      <c r="E709" s="2" t="s">
        <v>5</v>
      </c>
      <c r="F709" s="7">
        <v>1430.16</v>
      </c>
      <c r="G709" s="2" t="s">
        <v>22</v>
      </c>
    </row>
    <row r="710" spans="1:7">
      <c r="A710" s="1" t="s">
        <v>88</v>
      </c>
      <c r="B710" s="2" t="s">
        <v>60</v>
      </c>
      <c r="E710" s="2" t="s">
        <v>5</v>
      </c>
      <c r="F710" s="7">
        <v>1726.2</v>
      </c>
      <c r="G710" s="2" t="s">
        <v>22</v>
      </c>
    </row>
    <row r="711" spans="1:7">
      <c r="A711" s="1" t="s">
        <v>89</v>
      </c>
      <c r="B711" s="2" t="s">
        <v>60</v>
      </c>
      <c r="E711" s="2" t="s">
        <v>5</v>
      </c>
      <c r="F711" s="7">
        <v>533.28</v>
      </c>
      <c r="G711" s="2" t="s">
        <v>22</v>
      </c>
    </row>
    <row r="712" spans="1:7">
      <c r="A712" s="1" t="s">
        <v>89</v>
      </c>
      <c r="B712" s="2" t="s">
        <v>75</v>
      </c>
      <c r="E712" s="2" t="s">
        <v>5</v>
      </c>
      <c r="F712" s="7">
        <v>346.5</v>
      </c>
      <c r="G712" s="2" t="s">
        <v>22</v>
      </c>
    </row>
    <row r="713" spans="1:7">
      <c r="A713" s="1" t="s">
        <v>89</v>
      </c>
      <c r="B713" s="2" t="s">
        <v>57</v>
      </c>
      <c r="E713" s="2" t="s">
        <v>5</v>
      </c>
      <c r="F713" s="7">
        <v>806.56</v>
      </c>
      <c r="G713" s="2" t="s">
        <v>28</v>
      </c>
    </row>
    <row r="714" spans="1:7">
      <c r="A714" s="1" t="s">
        <v>89</v>
      </c>
      <c r="B714" s="2" t="s">
        <v>57</v>
      </c>
      <c r="E714" s="2" t="s">
        <v>5</v>
      </c>
      <c r="F714" s="7">
        <v>1154.3</v>
      </c>
      <c r="G714" s="2" t="s">
        <v>27</v>
      </c>
    </row>
    <row r="715" spans="1:7">
      <c r="A715" s="1" t="s">
        <v>89</v>
      </c>
      <c r="B715" s="2" t="s">
        <v>63</v>
      </c>
      <c r="E715" s="2" t="s">
        <v>5</v>
      </c>
      <c r="F715" s="7">
        <v>1115.55</v>
      </c>
      <c r="G715" s="2" t="s">
        <v>27</v>
      </c>
    </row>
    <row r="716" spans="1:7">
      <c r="A716" s="1" t="s">
        <v>89</v>
      </c>
      <c r="B716" s="2" t="s">
        <v>57</v>
      </c>
      <c r="E716" s="2" t="s">
        <v>5</v>
      </c>
      <c r="F716" s="7">
        <v>1064.8999999999999</v>
      </c>
      <c r="G716" s="2" t="s">
        <v>28</v>
      </c>
    </row>
    <row r="717" spans="1:7">
      <c r="A717" s="1" t="s">
        <v>89</v>
      </c>
      <c r="B717" s="2" t="s">
        <v>57</v>
      </c>
      <c r="E717" s="2" t="s">
        <v>5</v>
      </c>
      <c r="F717" s="7">
        <v>2439.5100000000002</v>
      </c>
      <c r="G717" s="2" t="s">
        <v>27</v>
      </c>
    </row>
    <row r="718" spans="1:7">
      <c r="A718" s="1" t="s">
        <v>89</v>
      </c>
      <c r="B718" s="2" t="s">
        <v>57</v>
      </c>
      <c r="E718" s="2" t="s">
        <v>5</v>
      </c>
      <c r="F718" s="7">
        <v>1563.32</v>
      </c>
      <c r="G718" s="2" t="s">
        <v>22</v>
      </c>
    </row>
    <row r="719" spans="1:7">
      <c r="A719" s="1" t="s">
        <v>89</v>
      </c>
      <c r="B719" s="2" t="s">
        <v>60</v>
      </c>
      <c r="E719" s="2" t="s">
        <v>5</v>
      </c>
      <c r="F719" s="7">
        <v>1067.94</v>
      </c>
      <c r="G719" s="2" t="s">
        <v>28</v>
      </c>
    </row>
    <row r="720" spans="1:7">
      <c r="A720" s="1" t="s">
        <v>89</v>
      </c>
      <c r="B720" s="2" t="s">
        <v>57</v>
      </c>
      <c r="E720" s="2" t="s">
        <v>5</v>
      </c>
      <c r="F720" s="7">
        <v>2086.8399999999997</v>
      </c>
      <c r="G720" s="2" t="s">
        <v>22</v>
      </c>
    </row>
    <row r="721" spans="1:7">
      <c r="A721" s="1" t="s">
        <v>89</v>
      </c>
      <c r="B721" s="2" t="s">
        <v>57</v>
      </c>
      <c r="E721" s="2" t="s">
        <v>5</v>
      </c>
      <c r="F721" s="7">
        <v>1006.72</v>
      </c>
      <c r="G721" s="2" t="s">
        <v>28</v>
      </c>
    </row>
    <row r="722" spans="1:7">
      <c r="A722" s="1" t="s">
        <v>90</v>
      </c>
      <c r="B722" s="2" t="s">
        <v>57</v>
      </c>
      <c r="E722" s="2" t="s">
        <v>5</v>
      </c>
      <c r="F722" s="7">
        <v>376.05</v>
      </c>
      <c r="G722" s="2" t="s">
        <v>27</v>
      </c>
    </row>
    <row r="723" spans="1:7">
      <c r="A723" s="1" t="s">
        <v>90</v>
      </c>
      <c r="B723" s="2" t="s">
        <v>60</v>
      </c>
      <c r="E723" s="2" t="s">
        <v>5</v>
      </c>
      <c r="F723" s="7">
        <v>3608.81</v>
      </c>
      <c r="G723" s="2" t="s">
        <v>28</v>
      </c>
    </row>
    <row r="724" spans="1:7">
      <c r="A724" s="1" t="s">
        <v>90</v>
      </c>
      <c r="B724" s="2" t="s">
        <v>57</v>
      </c>
      <c r="E724" s="2" t="s">
        <v>5</v>
      </c>
      <c r="F724" s="7">
        <v>969.76</v>
      </c>
      <c r="G724" s="2" t="s">
        <v>22</v>
      </c>
    </row>
    <row r="725" spans="1:7">
      <c r="A725" s="1" t="s">
        <v>90</v>
      </c>
      <c r="B725" s="2" t="s">
        <v>60</v>
      </c>
      <c r="E725" s="2" t="s">
        <v>5</v>
      </c>
      <c r="F725" s="7">
        <v>2247.79</v>
      </c>
      <c r="G725" s="2" t="s">
        <v>22</v>
      </c>
    </row>
    <row r="726" spans="1:7">
      <c r="A726" s="1" t="s">
        <v>90</v>
      </c>
      <c r="B726" s="2" t="s">
        <v>57</v>
      </c>
      <c r="E726" s="2" t="s">
        <v>5</v>
      </c>
      <c r="F726" s="7">
        <v>432.28000000000003</v>
      </c>
      <c r="G726" s="2" t="s">
        <v>28</v>
      </c>
    </row>
    <row r="727" spans="1:7">
      <c r="A727" s="1" t="s">
        <v>90</v>
      </c>
      <c r="B727" s="2" t="s">
        <v>54</v>
      </c>
      <c r="E727" s="2" t="s">
        <v>5</v>
      </c>
      <c r="F727" s="7">
        <v>4338.8100000000004</v>
      </c>
      <c r="G727" s="2" t="s">
        <v>22</v>
      </c>
    </row>
    <row r="728" spans="1:7">
      <c r="A728" s="1" t="s">
        <v>90</v>
      </c>
      <c r="B728" s="2" t="s">
        <v>63</v>
      </c>
      <c r="E728" s="2" t="s">
        <v>5</v>
      </c>
      <c r="F728" s="7">
        <v>1567.02</v>
      </c>
      <c r="G728" s="2" t="s">
        <v>28</v>
      </c>
    </row>
    <row r="729" spans="1:7">
      <c r="A729" s="1" t="s">
        <v>90</v>
      </c>
      <c r="B729" s="2" t="s">
        <v>57</v>
      </c>
      <c r="E729" s="2" t="s">
        <v>5</v>
      </c>
      <c r="F729" s="7">
        <v>1039.1699999999998</v>
      </c>
      <c r="G729" s="2" t="s">
        <v>28</v>
      </c>
    </row>
    <row r="730" spans="1:7">
      <c r="A730" s="1" t="s">
        <v>91</v>
      </c>
      <c r="B730" s="2" t="s">
        <v>75</v>
      </c>
      <c r="E730" s="2" t="s">
        <v>5</v>
      </c>
      <c r="F730" s="7">
        <v>771.4</v>
      </c>
      <c r="G730" s="2" t="s">
        <v>27</v>
      </c>
    </row>
    <row r="731" spans="1:7">
      <c r="A731" s="1" t="s">
        <v>91</v>
      </c>
      <c r="B731" s="2" t="s">
        <v>57</v>
      </c>
      <c r="E731" s="2" t="s">
        <v>5</v>
      </c>
      <c r="F731" s="7">
        <v>1636.39</v>
      </c>
      <c r="G731" s="2" t="s">
        <v>27</v>
      </c>
    </row>
    <row r="732" spans="1:7">
      <c r="A732" s="1" t="s">
        <v>91</v>
      </c>
      <c r="B732" s="2" t="s">
        <v>54</v>
      </c>
      <c r="E732" s="2" t="s">
        <v>5</v>
      </c>
      <c r="F732" s="7">
        <v>1515.2399999999998</v>
      </c>
      <c r="G732" s="2" t="s">
        <v>28</v>
      </c>
    </row>
    <row r="733" spans="1:7">
      <c r="A733" s="1" t="s">
        <v>92</v>
      </c>
      <c r="B733" s="2" t="s">
        <v>54</v>
      </c>
      <c r="E733" s="2" t="s">
        <v>5</v>
      </c>
      <c r="F733" s="7">
        <v>4142.07</v>
      </c>
      <c r="G733" s="2" t="s">
        <v>27</v>
      </c>
    </row>
    <row r="734" spans="1:7">
      <c r="A734" s="1" t="s">
        <v>92</v>
      </c>
      <c r="B734" s="2" t="s">
        <v>75</v>
      </c>
      <c r="E734" s="2" t="s">
        <v>5</v>
      </c>
      <c r="F734" s="7">
        <v>1069.47</v>
      </c>
      <c r="G734" s="2" t="s">
        <v>28</v>
      </c>
    </row>
    <row r="735" spans="1:7">
      <c r="A735" s="1" t="s">
        <v>92</v>
      </c>
      <c r="B735" s="2" t="s">
        <v>60</v>
      </c>
      <c r="E735" s="2" t="s">
        <v>5</v>
      </c>
      <c r="F735" s="7">
        <v>1059.52</v>
      </c>
      <c r="G735" s="2" t="s">
        <v>28</v>
      </c>
    </row>
    <row r="736" spans="1:7">
      <c r="A736" s="1" t="s">
        <v>92</v>
      </c>
      <c r="B736" s="2" t="s">
        <v>60</v>
      </c>
      <c r="E736" s="2" t="s">
        <v>5</v>
      </c>
      <c r="F736" s="7">
        <v>1423.54</v>
      </c>
      <c r="G736" s="2" t="s">
        <v>28</v>
      </c>
    </row>
    <row r="737" spans="1:7">
      <c r="A737" s="1" t="s">
        <v>92</v>
      </c>
      <c r="B737" s="2" t="s">
        <v>60</v>
      </c>
      <c r="E737" s="2" t="s">
        <v>5</v>
      </c>
      <c r="F737" s="7">
        <v>3653.02</v>
      </c>
      <c r="G737" s="2" t="s">
        <v>22</v>
      </c>
    </row>
    <row r="738" spans="1:7">
      <c r="A738" s="1" t="s">
        <v>92</v>
      </c>
      <c r="B738" s="2" t="s">
        <v>75</v>
      </c>
      <c r="E738" s="2" t="s">
        <v>5</v>
      </c>
      <c r="F738" s="7">
        <v>719.59999999999991</v>
      </c>
      <c r="G738" s="2" t="s">
        <v>22</v>
      </c>
    </row>
    <row r="739" spans="1:7">
      <c r="A739" s="1" t="s">
        <v>92</v>
      </c>
      <c r="B739" s="2" t="s">
        <v>54</v>
      </c>
      <c r="E739" s="2" t="s">
        <v>5</v>
      </c>
      <c r="F739" s="7">
        <v>299.71999999999997</v>
      </c>
      <c r="G739" s="2" t="s">
        <v>27</v>
      </c>
    </row>
    <row r="740" spans="1:7">
      <c r="A740" s="1" t="s">
        <v>92</v>
      </c>
      <c r="B740" s="2" t="s">
        <v>63</v>
      </c>
      <c r="E740" s="2" t="s">
        <v>5</v>
      </c>
      <c r="F740" s="7">
        <v>3689.62</v>
      </c>
      <c r="G740" s="2" t="s">
        <v>28</v>
      </c>
    </row>
    <row r="741" spans="1:7">
      <c r="A741" s="1" t="s">
        <v>93</v>
      </c>
      <c r="B741" s="2" t="s">
        <v>54</v>
      </c>
      <c r="E741" s="2" t="s">
        <v>5</v>
      </c>
      <c r="F741" s="7">
        <v>1680.64</v>
      </c>
      <c r="G741" s="2" t="s">
        <v>27</v>
      </c>
    </row>
    <row r="742" spans="1:7">
      <c r="A742" s="1" t="s">
        <v>93</v>
      </c>
      <c r="B742" s="2" t="s">
        <v>60</v>
      </c>
      <c r="E742" s="2" t="s">
        <v>5</v>
      </c>
      <c r="F742" s="7">
        <v>690</v>
      </c>
      <c r="G742" s="2" t="s">
        <v>22</v>
      </c>
    </row>
    <row r="743" spans="1:7">
      <c r="A743" s="1" t="s">
        <v>93</v>
      </c>
      <c r="B743" s="2" t="s">
        <v>57</v>
      </c>
      <c r="E743" s="2" t="s">
        <v>5</v>
      </c>
      <c r="F743" s="7">
        <v>1430.29</v>
      </c>
      <c r="G743" s="2" t="s">
        <v>27</v>
      </c>
    </row>
    <row r="744" spans="1:7">
      <c r="A744" s="1" t="s">
        <v>93</v>
      </c>
      <c r="B744" s="2" t="s">
        <v>75</v>
      </c>
      <c r="E744" s="2" t="s">
        <v>5</v>
      </c>
      <c r="F744" s="7">
        <v>2079.7200000000003</v>
      </c>
      <c r="G744" s="2" t="s">
        <v>22</v>
      </c>
    </row>
    <row r="745" spans="1:7">
      <c r="A745" s="1" t="s">
        <v>93</v>
      </c>
      <c r="B745" s="2" t="s">
        <v>63</v>
      </c>
      <c r="E745" s="2" t="s">
        <v>5</v>
      </c>
      <c r="F745" s="7">
        <v>2686.6</v>
      </c>
      <c r="G745" s="2" t="s">
        <v>28</v>
      </c>
    </row>
    <row r="746" spans="1:7">
      <c r="A746" s="1" t="s">
        <v>93</v>
      </c>
      <c r="B746" s="2" t="s">
        <v>63</v>
      </c>
      <c r="E746" s="2" t="s">
        <v>5</v>
      </c>
      <c r="F746" s="7">
        <v>968.3</v>
      </c>
      <c r="G746" s="2" t="s">
        <v>28</v>
      </c>
    </row>
    <row r="747" spans="1:7">
      <c r="A747" s="1" t="s">
        <v>94</v>
      </c>
      <c r="B747" s="2" t="s">
        <v>63</v>
      </c>
      <c r="E747" s="2" t="s">
        <v>5</v>
      </c>
      <c r="F747" s="7">
        <v>700.92000000000007</v>
      </c>
      <c r="G747" s="2" t="s">
        <v>22</v>
      </c>
    </row>
    <row r="748" spans="1:7">
      <c r="A748" s="1" t="s">
        <v>94</v>
      </c>
      <c r="B748" s="2" t="s">
        <v>54</v>
      </c>
      <c r="E748" s="2" t="s">
        <v>5</v>
      </c>
      <c r="F748" s="7">
        <v>891.44999999999993</v>
      </c>
      <c r="G748" s="2" t="s">
        <v>27</v>
      </c>
    </row>
    <row r="749" spans="1:7">
      <c r="A749" s="1" t="s">
        <v>94</v>
      </c>
      <c r="B749" s="2" t="s">
        <v>60</v>
      </c>
      <c r="E749" s="2" t="s">
        <v>5</v>
      </c>
      <c r="F749" s="7">
        <v>708.89</v>
      </c>
      <c r="G749" s="2" t="s">
        <v>27</v>
      </c>
    </row>
    <row r="750" spans="1:7">
      <c r="A750" s="1" t="s">
        <v>94</v>
      </c>
      <c r="B750" s="2" t="s">
        <v>63</v>
      </c>
      <c r="E750" s="2" t="s">
        <v>5</v>
      </c>
      <c r="F750" s="7">
        <v>809.55</v>
      </c>
      <c r="G750" s="2" t="s">
        <v>27</v>
      </c>
    </row>
  </sheetData>
  <autoFilter ref="A1:I390" xr:uid="{035B0037-2BC2-4571-9E50-1EF9658C6B29}"/>
  <sortState xmlns:xlrd2="http://schemas.microsoft.com/office/spreadsheetml/2017/richdata2" ref="A2:G390">
    <sortCondition ref="A2:A390"/>
    <sortCondition ref="E2:E390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D086-6696-4530-8F8E-6E741987316C}">
  <dimension ref="A1:AP97"/>
  <sheetViews>
    <sheetView workbookViewId="0"/>
  </sheetViews>
  <sheetFormatPr defaultRowHeight="15"/>
  <cols>
    <col min="1" max="1" width="6.85546875" bestFit="1" customWidth="1"/>
    <col min="2" max="2" width="15.7109375" bestFit="1" customWidth="1"/>
    <col min="3" max="3" width="9.5703125" bestFit="1" customWidth="1"/>
    <col min="4" max="4" width="9.28515625" bestFit="1" customWidth="1"/>
    <col min="5" max="5" width="9" bestFit="1" customWidth="1"/>
    <col min="6" max="6" width="11.7109375" bestFit="1" customWidth="1"/>
    <col min="7" max="7" width="12.28515625" bestFit="1" customWidth="1"/>
    <col min="8" max="8" width="6.85546875" bestFit="1" customWidth="1"/>
    <col min="9" max="9" width="11.42578125" bestFit="1" customWidth="1"/>
    <col min="11" max="11" width="12.140625" bestFit="1" customWidth="1"/>
    <col min="12" max="12" width="14.85546875" bestFit="1" customWidth="1"/>
  </cols>
  <sheetData>
    <row r="1" spans="1:42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6" t="s">
        <v>15</v>
      </c>
      <c r="G1" s="4" t="s">
        <v>16</v>
      </c>
      <c r="H1" s="6" t="s">
        <v>17</v>
      </c>
      <c r="I1" s="6" t="s">
        <v>18</v>
      </c>
      <c r="K1" t="s">
        <v>35</v>
      </c>
      <c r="L1" t="s">
        <v>38</v>
      </c>
    </row>
    <row r="2" spans="1:42">
      <c r="A2" s="5">
        <v>44197</v>
      </c>
      <c r="B2" s="4" t="s">
        <v>35</v>
      </c>
      <c r="C2" s="4" t="s">
        <v>36</v>
      </c>
      <c r="D2" s="4" t="s">
        <v>37</v>
      </c>
      <c r="E2" s="4" t="s">
        <v>2</v>
      </c>
      <c r="F2" s="6">
        <v>13310.4</v>
      </c>
      <c r="G2" s="4" t="s">
        <v>27</v>
      </c>
      <c r="H2" s="9">
        <v>15000</v>
      </c>
      <c r="I2" s="8" cm="1">
        <f t="array" ref="I2">IF(F2 &gt;= H2,F2 * commission, 0)</f>
        <v>0</v>
      </c>
      <c r="K2" s="11">
        <f>SUMIF($B:$B, K1, $F:$F)</f>
        <v>517004.59999999992</v>
      </c>
      <c r="L2" s="11">
        <f t="shared" ref="L2:AP2" si="0">SUMIF($B:$B, L1, $F:$F)</f>
        <v>289580.79999999999</v>
      </c>
      <c r="M2" s="11">
        <f t="shared" si="0"/>
        <v>0</v>
      </c>
      <c r="N2" s="11">
        <f t="shared" si="0"/>
        <v>0</v>
      </c>
      <c r="O2" s="11">
        <f t="shared" si="0"/>
        <v>0</v>
      </c>
      <c r="P2" s="11">
        <f t="shared" si="0"/>
        <v>0</v>
      </c>
      <c r="Q2" s="11">
        <f t="shared" si="0"/>
        <v>0</v>
      </c>
      <c r="R2" s="11">
        <f t="shared" si="0"/>
        <v>0</v>
      </c>
      <c r="S2" s="11">
        <f t="shared" si="0"/>
        <v>0</v>
      </c>
      <c r="T2" s="11">
        <f t="shared" si="0"/>
        <v>0</v>
      </c>
      <c r="U2" s="11">
        <f t="shared" si="0"/>
        <v>0</v>
      </c>
      <c r="V2" s="11">
        <f t="shared" si="0"/>
        <v>0</v>
      </c>
      <c r="W2" s="11">
        <f t="shared" si="0"/>
        <v>0</v>
      </c>
      <c r="X2" s="11">
        <f t="shared" si="0"/>
        <v>0</v>
      </c>
      <c r="Y2" s="11">
        <f t="shared" si="0"/>
        <v>0</v>
      </c>
      <c r="Z2" s="11">
        <f t="shared" si="0"/>
        <v>0</v>
      </c>
      <c r="AA2" s="11">
        <f t="shared" si="0"/>
        <v>0</v>
      </c>
      <c r="AB2" s="11">
        <f t="shared" si="0"/>
        <v>0</v>
      </c>
      <c r="AC2" s="11">
        <f t="shared" si="0"/>
        <v>0</v>
      </c>
      <c r="AD2" s="11">
        <f t="shared" si="0"/>
        <v>0</v>
      </c>
      <c r="AE2" s="11">
        <f t="shared" si="0"/>
        <v>0</v>
      </c>
      <c r="AF2" s="11">
        <f t="shared" si="0"/>
        <v>0</v>
      </c>
      <c r="AG2" s="11">
        <f t="shared" si="0"/>
        <v>0</v>
      </c>
      <c r="AH2" s="11">
        <f t="shared" si="0"/>
        <v>0</v>
      </c>
      <c r="AI2" s="11">
        <f t="shared" si="0"/>
        <v>0</v>
      </c>
      <c r="AJ2" s="11">
        <f t="shared" si="0"/>
        <v>0</v>
      </c>
      <c r="AK2" s="11">
        <f t="shared" si="0"/>
        <v>0</v>
      </c>
      <c r="AL2" s="11">
        <f t="shared" si="0"/>
        <v>0</v>
      </c>
      <c r="AM2" s="11">
        <f t="shared" si="0"/>
        <v>0</v>
      </c>
      <c r="AN2" s="11">
        <f t="shared" si="0"/>
        <v>0</v>
      </c>
      <c r="AO2" s="11">
        <f t="shared" si="0"/>
        <v>0</v>
      </c>
      <c r="AP2" s="11">
        <f t="shared" si="0"/>
        <v>0</v>
      </c>
    </row>
    <row r="3" spans="1:42">
      <c r="A3" s="5">
        <v>44197</v>
      </c>
      <c r="B3" s="4" t="s">
        <v>38</v>
      </c>
      <c r="C3" s="4" t="s">
        <v>39</v>
      </c>
      <c r="D3" s="4" t="s">
        <v>40</v>
      </c>
      <c r="E3" s="4" t="s">
        <v>2</v>
      </c>
      <c r="F3" s="6">
        <v>20366.100000000002</v>
      </c>
      <c r="G3" s="4" t="s">
        <v>28</v>
      </c>
      <c r="H3" s="9">
        <v>15000</v>
      </c>
      <c r="I3" s="8" cm="1">
        <f t="array" ref="I3">IF(F3 &gt;= H3,F3 * commission, 0)</f>
        <v>2036.6100000000004</v>
      </c>
    </row>
    <row r="4" spans="1:42">
      <c r="A4" s="5">
        <v>44197</v>
      </c>
      <c r="B4" s="4" t="s">
        <v>38</v>
      </c>
      <c r="C4" s="4" t="s">
        <v>39</v>
      </c>
      <c r="D4" s="4" t="s">
        <v>40</v>
      </c>
      <c r="E4" s="4" t="s">
        <v>2</v>
      </c>
      <c r="F4" s="6">
        <v>20880</v>
      </c>
      <c r="G4" s="4" t="s">
        <v>27</v>
      </c>
      <c r="H4" s="9">
        <v>15000</v>
      </c>
      <c r="I4" s="8" cm="1">
        <f t="array" ref="I4">IF(F4 &gt;= H4,F4 * commission, 0)</f>
        <v>2088</v>
      </c>
    </row>
    <row r="5" spans="1:42">
      <c r="A5" s="5">
        <v>44197</v>
      </c>
      <c r="B5" s="4" t="s">
        <v>35</v>
      </c>
      <c r="C5" s="4" t="s">
        <v>36</v>
      </c>
      <c r="D5" s="4" t="s">
        <v>37</v>
      </c>
      <c r="E5" s="4" t="s">
        <v>2</v>
      </c>
      <c r="F5" s="6">
        <v>23076.199999999997</v>
      </c>
      <c r="G5" s="4" t="s">
        <v>27</v>
      </c>
      <c r="H5" s="9">
        <v>15000</v>
      </c>
      <c r="I5" s="8" cm="1">
        <f t="array" ref="I5">IF(F5 &gt;= H5,F5 * commission, 0)</f>
        <v>2307.62</v>
      </c>
    </row>
    <row r="6" spans="1:42">
      <c r="A6" s="5">
        <v>44197</v>
      </c>
      <c r="B6" s="4" t="s">
        <v>35</v>
      </c>
      <c r="C6" s="4" t="s">
        <v>36</v>
      </c>
      <c r="D6" s="4" t="s">
        <v>37</v>
      </c>
      <c r="E6" s="4" t="s">
        <v>2</v>
      </c>
      <c r="F6" s="6">
        <v>25560</v>
      </c>
      <c r="G6" s="4" t="s">
        <v>27</v>
      </c>
      <c r="H6" s="9">
        <v>15000</v>
      </c>
      <c r="I6" s="8" cm="1">
        <f t="array" ref="I6">IF(F6 &gt;= H6,F6 * commission, 0)</f>
        <v>2556</v>
      </c>
    </row>
    <row r="7" spans="1:42">
      <c r="A7" s="5">
        <v>44228</v>
      </c>
      <c r="B7" s="4" t="s">
        <v>38</v>
      </c>
      <c r="C7" s="4" t="s">
        <v>39</v>
      </c>
      <c r="D7" s="4" t="s">
        <v>40</v>
      </c>
      <c r="E7" s="4" t="s">
        <v>2</v>
      </c>
      <c r="F7" s="6">
        <v>13479.400000000001</v>
      </c>
      <c r="G7" s="4" t="s">
        <v>28</v>
      </c>
      <c r="H7" s="9">
        <v>15000</v>
      </c>
      <c r="I7" s="8" cm="1">
        <f t="array" ref="I7">IF(F7 &gt;= H7,F7 * commission, 0)</f>
        <v>0</v>
      </c>
    </row>
    <row r="8" spans="1:42">
      <c r="A8" s="5">
        <v>44228</v>
      </c>
      <c r="B8" s="4" t="s">
        <v>35</v>
      </c>
      <c r="C8" s="4" t="s">
        <v>36</v>
      </c>
      <c r="D8" s="4" t="s">
        <v>37</v>
      </c>
      <c r="E8" s="4" t="s">
        <v>2</v>
      </c>
      <c r="F8" s="6">
        <v>16604.400000000001</v>
      </c>
      <c r="G8" s="4" t="s">
        <v>22</v>
      </c>
      <c r="H8" s="9">
        <v>15000</v>
      </c>
      <c r="I8" s="8" cm="1">
        <f t="array" ref="I8">IF(F8 &gt;= H8,F8 * commission, 0)</f>
        <v>1660.4400000000003</v>
      </c>
    </row>
    <row r="9" spans="1:42">
      <c r="A9" s="5">
        <v>44228</v>
      </c>
      <c r="B9" s="4" t="s">
        <v>68</v>
      </c>
      <c r="C9" s="4" t="s">
        <v>69</v>
      </c>
      <c r="D9" s="4" t="s">
        <v>70</v>
      </c>
      <c r="E9" s="4" t="s">
        <v>2</v>
      </c>
      <c r="F9" s="6">
        <v>22176</v>
      </c>
      <c r="G9" s="4" t="s">
        <v>22</v>
      </c>
      <c r="H9" s="9">
        <v>15000</v>
      </c>
      <c r="I9" s="8" cm="1">
        <f t="array" ref="I9">IF(F9 &gt;= H9,F9 * commission, 0)</f>
        <v>2217.6</v>
      </c>
    </row>
    <row r="10" spans="1:42">
      <c r="A10" s="5">
        <v>44228</v>
      </c>
      <c r="B10" s="4" t="s">
        <v>38</v>
      </c>
      <c r="C10" s="4" t="s">
        <v>39</v>
      </c>
      <c r="D10" s="4" t="s">
        <v>40</v>
      </c>
      <c r="E10" s="4" t="s">
        <v>2</v>
      </c>
      <c r="F10" s="6">
        <v>24131.000000000004</v>
      </c>
      <c r="G10" s="4" t="s">
        <v>22</v>
      </c>
      <c r="H10" s="9">
        <v>15000</v>
      </c>
      <c r="I10" s="8" cm="1">
        <f t="array" ref="I10">IF(F10 &gt;= H10,F10 * commission, 0)</f>
        <v>2413.1000000000004</v>
      </c>
    </row>
    <row r="11" spans="1:42">
      <c r="A11" s="5">
        <v>44228</v>
      </c>
      <c r="B11" s="4" t="s">
        <v>35</v>
      </c>
      <c r="C11" s="4" t="s">
        <v>36</v>
      </c>
      <c r="D11" s="4" t="s">
        <v>37</v>
      </c>
      <c r="E11" s="4" t="s">
        <v>2</v>
      </c>
      <c r="F11" s="6">
        <v>34353.5</v>
      </c>
      <c r="G11" s="4" t="s">
        <v>22</v>
      </c>
      <c r="H11" s="9">
        <v>15000</v>
      </c>
      <c r="I11" s="8" cm="1">
        <f t="array" ref="I11">IF(F11 &gt;= H11,F11 * commission, 0)</f>
        <v>3435.3500000000004</v>
      </c>
    </row>
    <row r="12" spans="1:42">
      <c r="A12" s="5">
        <v>44256</v>
      </c>
      <c r="B12" s="4" t="s">
        <v>77</v>
      </c>
      <c r="C12" s="4" t="s">
        <v>78</v>
      </c>
      <c r="D12" s="4" t="s">
        <v>79</v>
      </c>
      <c r="E12" s="4" t="s">
        <v>2</v>
      </c>
      <c r="F12" s="6">
        <v>7416.9</v>
      </c>
      <c r="G12" s="4" t="s">
        <v>28</v>
      </c>
      <c r="H12" s="9">
        <v>15000</v>
      </c>
      <c r="I12" s="8" cm="1">
        <f t="array" ref="I12">IF(F12 &gt;= H12,F12 * commission, 0)</f>
        <v>0</v>
      </c>
    </row>
    <row r="13" spans="1:42">
      <c r="A13" s="5">
        <v>44256</v>
      </c>
      <c r="B13" s="4" t="s">
        <v>80</v>
      </c>
      <c r="C13" s="4" t="s">
        <v>81</v>
      </c>
      <c r="D13" s="4" t="s">
        <v>82</v>
      </c>
      <c r="E13" s="4" t="s">
        <v>2</v>
      </c>
      <c r="F13" s="6">
        <v>8284.5</v>
      </c>
      <c r="G13" s="4" t="s">
        <v>22</v>
      </c>
      <c r="H13" s="9">
        <v>15000</v>
      </c>
      <c r="I13" s="8" cm="1">
        <f t="array" ref="I13">IF(F13 &gt;= H13,F13 * commission, 0)</f>
        <v>0</v>
      </c>
    </row>
    <row r="14" spans="1:42">
      <c r="A14" s="5">
        <v>44256</v>
      </c>
      <c r="B14" s="4" t="s">
        <v>35</v>
      </c>
      <c r="C14" s="4" t="s">
        <v>36</v>
      </c>
      <c r="D14" s="4" t="s">
        <v>37</v>
      </c>
      <c r="E14" s="4" t="s">
        <v>2</v>
      </c>
      <c r="F14" s="6">
        <v>10758.7</v>
      </c>
      <c r="G14" s="4" t="s">
        <v>22</v>
      </c>
      <c r="H14" s="9">
        <v>15000</v>
      </c>
      <c r="I14" s="8" cm="1">
        <f t="array" ref="I14">IF(F14 &gt;= H14,F14 * commission, 0)</f>
        <v>0</v>
      </c>
    </row>
    <row r="15" spans="1:42">
      <c r="A15" s="5">
        <v>44256</v>
      </c>
      <c r="B15" s="4" t="s">
        <v>38</v>
      </c>
      <c r="C15" s="4" t="s">
        <v>39</v>
      </c>
      <c r="D15" s="4" t="s">
        <v>40</v>
      </c>
      <c r="E15" s="4" t="s">
        <v>2</v>
      </c>
      <c r="F15" s="6">
        <v>12124.2</v>
      </c>
      <c r="G15" s="4" t="s">
        <v>28</v>
      </c>
      <c r="H15" s="9">
        <v>15000</v>
      </c>
      <c r="I15" s="8" cm="1">
        <f t="array" ref="I15">IF(F15 &gt;= H15,F15 * commission, 0)</f>
        <v>0</v>
      </c>
    </row>
    <row r="16" spans="1:42">
      <c r="A16" s="5">
        <v>44256</v>
      </c>
      <c r="B16" s="4" t="s">
        <v>77</v>
      </c>
      <c r="C16" s="4" t="s">
        <v>78</v>
      </c>
      <c r="D16" s="4" t="s">
        <v>79</v>
      </c>
      <c r="E16" s="4" t="s">
        <v>2</v>
      </c>
      <c r="F16" s="6">
        <v>14391.999999999998</v>
      </c>
      <c r="G16" s="4" t="s">
        <v>27</v>
      </c>
      <c r="H16" s="9">
        <v>15000</v>
      </c>
      <c r="I16" s="8" cm="1">
        <f t="array" ref="I16">IF(F16 &gt;= H16,F16 * commission, 0)</f>
        <v>0</v>
      </c>
    </row>
    <row r="17" spans="1:9">
      <c r="A17" s="5">
        <v>44256</v>
      </c>
      <c r="B17" s="4" t="s">
        <v>80</v>
      </c>
      <c r="C17" s="4" t="s">
        <v>81</v>
      </c>
      <c r="D17" s="4" t="s">
        <v>82</v>
      </c>
      <c r="E17" s="4" t="s">
        <v>2</v>
      </c>
      <c r="F17" s="6">
        <v>15246</v>
      </c>
      <c r="G17" s="4" t="s">
        <v>27</v>
      </c>
      <c r="H17" s="9">
        <v>15000</v>
      </c>
      <c r="I17" s="8" cm="1">
        <f t="array" ref="I17">IF(F17 &gt;= H17,F17 * commission, 0)</f>
        <v>1524.6000000000001</v>
      </c>
    </row>
    <row r="18" spans="1:9">
      <c r="A18" s="5">
        <v>44256</v>
      </c>
      <c r="B18" s="4" t="s">
        <v>77</v>
      </c>
      <c r="C18" s="4" t="s">
        <v>78</v>
      </c>
      <c r="D18" s="4" t="s">
        <v>79</v>
      </c>
      <c r="E18" s="4" t="s">
        <v>2</v>
      </c>
      <c r="F18" s="6">
        <v>17335.2</v>
      </c>
      <c r="G18" s="4" t="s">
        <v>28</v>
      </c>
      <c r="H18" s="9">
        <v>15000</v>
      </c>
      <c r="I18" s="8" cm="1">
        <f t="array" ref="I18">IF(F18 &gt;= H18,F18 * commission, 0)</f>
        <v>1733.5200000000002</v>
      </c>
    </row>
    <row r="19" spans="1:9">
      <c r="A19" s="5">
        <v>44256</v>
      </c>
      <c r="B19" s="4" t="s">
        <v>80</v>
      </c>
      <c r="C19" s="4" t="s">
        <v>81</v>
      </c>
      <c r="D19" s="4" t="s">
        <v>82</v>
      </c>
      <c r="E19" s="4" t="s">
        <v>2</v>
      </c>
      <c r="F19" s="6">
        <v>40831</v>
      </c>
      <c r="G19" s="4" t="s">
        <v>27</v>
      </c>
      <c r="H19" s="9">
        <v>15000</v>
      </c>
      <c r="I19" s="8" cm="1">
        <f t="array" ref="I19">IF(F19 &gt;= H19,F19 * commission, 0)</f>
        <v>4083.1000000000004</v>
      </c>
    </row>
    <row r="20" spans="1:9">
      <c r="A20" s="5">
        <v>44287</v>
      </c>
      <c r="B20" s="4" t="s">
        <v>35</v>
      </c>
      <c r="C20" s="4" t="s">
        <v>36</v>
      </c>
      <c r="D20" s="4" t="s">
        <v>37</v>
      </c>
      <c r="E20" s="4" t="s">
        <v>2</v>
      </c>
      <c r="F20" s="6">
        <v>8520</v>
      </c>
      <c r="G20" s="4" t="s">
        <v>28</v>
      </c>
      <c r="H20" s="9">
        <v>15000</v>
      </c>
      <c r="I20" s="8" cm="1">
        <f t="array" ref="I20">IF(F20 &gt;= H20,F20 * commission, 0)</f>
        <v>0</v>
      </c>
    </row>
    <row r="21" spans="1:9">
      <c r="A21" s="5">
        <v>44287</v>
      </c>
      <c r="B21" s="4" t="s">
        <v>77</v>
      </c>
      <c r="C21" s="4" t="s">
        <v>78</v>
      </c>
      <c r="D21" s="4" t="s">
        <v>79</v>
      </c>
      <c r="E21" s="4" t="s">
        <v>2</v>
      </c>
      <c r="F21" s="6">
        <v>14301.599999999999</v>
      </c>
      <c r="G21" s="4" t="s">
        <v>28</v>
      </c>
      <c r="H21" s="9">
        <v>15000</v>
      </c>
      <c r="I21" s="8" cm="1">
        <f t="array" ref="I21">IF(F21 &gt;= H21,F21 * commission, 0)</f>
        <v>0</v>
      </c>
    </row>
    <row r="22" spans="1:9">
      <c r="A22" s="5">
        <v>44287</v>
      </c>
      <c r="B22" s="4" t="s">
        <v>77</v>
      </c>
      <c r="C22" s="4" t="s">
        <v>78</v>
      </c>
      <c r="D22" s="4" t="s">
        <v>79</v>
      </c>
      <c r="E22" s="4" t="s">
        <v>2</v>
      </c>
      <c r="F22" s="6">
        <v>17204.399999999998</v>
      </c>
      <c r="G22" s="4" t="s">
        <v>27</v>
      </c>
      <c r="H22" s="9">
        <v>15000</v>
      </c>
      <c r="I22" s="8" cm="1">
        <f t="array" ref="I22">IF(F22 &gt;= H22,F22 * commission, 0)</f>
        <v>1720.4399999999998</v>
      </c>
    </row>
    <row r="23" spans="1:9">
      <c r="A23" s="5">
        <v>44287</v>
      </c>
      <c r="B23" s="4" t="s">
        <v>80</v>
      </c>
      <c r="C23" s="4" t="s">
        <v>81</v>
      </c>
      <c r="D23" s="4" t="s">
        <v>82</v>
      </c>
      <c r="E23" s="4" t="s">
        <v>2</v>
      </c>
      <c r="F23" s="6">
        <v>19080</v>
      </c>
      <c r="G23" s="4" t="s">
        <v>22</v>
      </c>
      <c r="H23" s="9">
        <v>15000</v>
      </c>
      <c r="I23" s="8" cm="1">
        <f t="array" ref="I23">IF(F23 &gt;= H23,F23 * commission, 0)</f>
        <v>1908</v>
      </c>
    </row>
    <row r="24" spans="1:9">
      <c r="A24" s="5">
        <v>44287</v>
      </c>
      <c r="B24" s="4" t="s">
        <v>35</v>
      </c>
      <c r="C24" s="4" t="s">
        <v>36</v>
      </c>
      <c r="D24" s="4" t="s">
        <v>37</v>
      </c>
      <c r="E24" s="4" t="s">
        <v>2</v>
      </c>
      <c r="F24" s="6">
        <v>19210.400000000001</v>
      </c>
      <c r="G24" s="4" t="s">
        <v>27</v>
      </c>
      <c r="H24" s="9">
        <v>15000</v>
      </c>
      <c r="I24" s="8" cm="1">
        <f t="array" ref="I24">IF(F24 &gt;= H24,F24 * commission, 0)</f>
        <v>1921.0400000000002</v>
      </c>
    </row>
    <row r="25" spans="1:9">
      <c r="A25" s="5">
        <v>44287</v>
      </c>
      <c r="B25" s="4" t="s">
        <v>35</v>
      </c>
      <c r="C25" s="4" t="s">
        <v>36</v>
      </c>
      <c r="D25" s="4" t="s">
        <v>37</v>
      </c>
      <c r="E25" s="4" t="s">
        <v>2</v>
      </c>
      <c r="F25" s="6">
        <v>32282.799999999996</v>
      </c>
      <c r="G25" s="4" t="s">
        <v>22</v>
      </c>
      <c r="H25" s="9">
        <v>15000</v>
      </c>
      <c r="I25" s="8" cm="1">
        <f t="array" ref="I25">IF(F25 &gt;= H25,F25 * commission, 0)</f>
        <v>3228.2799999999997</v>
      </c>
    </row>
    <row r="26" spans="1:9">
      <c r="A26" s="5">
        <v>44287</v>
      </c>
      <c r="B26" s="4" t="s">
        <v>68</v>
      </c>
      <c r="C26" s="4" t="s">
        <v>69</v>
      </c>
      <c r="D26" s="4" t="s">
        <v>70</v>
      </c>
      <c r="E26" s="4" t="s">
        <v>2</v>
      </c>
      <c r="F26" s="6">
        <v>32524.1</v>
      </c>
      <c r="G26" s="4" t="s">
        <v>27</v>
      </c>
      <c r="H26" s="9">
        <v>15000</v>
      </c>
      <c r="I26" s="8" cm="1">
        <f t="array" ref="I26">IF(F26 &gt;= H26,F26 * commission, 0)</f>
        <v>3252.41</v>
      </c>
    </row>
    <row r="27" spans="1:9">
      <c r="A27" s="5">
        <v>44287</v>
      </c>
      <c r="B27" s="4" t="s">
        <v>35</v>
      </c>
      <c r="C27" s="4" t="s">
        <v>36</v>
      </c>
      <c r="D27" s="4" t="s">
        <v>37</v>
      </c>
      <c r="E27" s="4" t="s">
        <v>2</v>
      </c>
      <c r="F27" s="6">
        <v>35153.799999999996</v>
      </c>
      <c r="G27" s="4" t="s">
        <v>27</v>
      </c>
      <c r="H27" s="9">
        <v>15000</v>
      </c>
      <c r="I27" s="8" cm="1">
        <f t="array" ref="I27">IF(F27 &gt;= H27,F27 * commission, 0)</f>
        <v>3515.3799999999997</v>
      </c>
    </row>
    <row r="28" spans="1:9">
      <c r="A28" s="5">
        <v>44287</v>
      </c>
      <c r="B28" s="4" t="s">
        <v>35</v>
      </c>
      <c r="C28" s="4" t="s">
        <v>36</v>
      </c>
      <c r="D28" s="4" t="s">
        <v>37</v>
      </c>
      <c r="E28" s="4" t="s">
        <v>2</v>
      </c>
      <c r="F28" s="6">
        <v>35820</v>
      </c>
      <c r="G28" s="4" t="s">
        <v>28</v>
      </c>
      <c r="H28" s="9">
        <v>15000</v>
      </c>
      <c r="I28" s="8" cm="1">
        <f t="array" ref="I28">IF(F28 &gt;= H28,F28 * commission, 0)</f>
        <v>3582</v>
      </c>
    </row>
    <row r="29" spans="1:9">
      <c r="A29" s="5">
        <v>44287</v>
      </c>
      <c r="B29" s="4" t="s">
        <v>38</v>
      </c>
      <c r="C29" s="4" t="s">
        <v>39</v>
      </c>
      <c r="D29" s="4" t="s">
        <v>40</v>
      </c>
      <c r="E29" s="4" t="s">
        <v>2</v>
      </c>
      <c r="F29" s="6">
        <v>42690.400000000001</v>
      </c>
      <c r="G29" s="4" t="s">
        <v>28</v>
      </c>
      <c r="H29" s="9">
        <v>15000</v>
      </c>
      <c r="I29" s="8" cm="1">
        <f t="array" ref="I29">IF(F29 &gt;= H29,F29 * commission, 0)</f>
        <v>4269.04</v>
      </c>
    </row>
    <row r="30" spans="1:9">
      <c r="A30" s="5">
        <v>44317</v>
      </c>
      <c r="B30" s="4" t="s">
        <v>38</v>
      </c>
      <c r="C30" s="4" t="s">
        <v>39</v>
      </c>
      <c r="D30" s="4" t="s">
        <v>40</v>
      </c>
      <c r="E30" s="4" t="s">
        <v>2</v>
      </c>
      <c r="F30" s="6">
        <v>9270.1</v>
      </c>
      <c r="G30" s="4" t="s">
        <v>27</v>
      </c>
      <c r="H30" s="9">
        <v>15000</v>
      </c>
      <c r="I30" s="8" cm="1">
        <f t="array" ref="I30">IF(F30 &gt;= H30,F30 * commission, 0)</f>
        <v>0</v>
      </c>
    </row>
    <row r="31" spans="1:9">
      <c r="A31" s="5">
        <v>44317</v>
      </c>
      <c r="B31" s="4" t="s">
        <v>38</v>
      </c>
      <c r="C31" s="4" t="s">
        <v>39</v>
      </c>
      <c r="D31" s="4" t="s">
        <v>40</v>
      </c>
      <c r="E31" s="4" t="s">
        <v>2</v>
      </c>
      <c r="F31" s="6">
        <v>11235</v>
      </c>
      <c r="G31" s="4" t="s">
        <v>28</v>
      </c>
      <c r="H31" s="9">
        <v>15000</v>
      </c>
      <c r="I31" s="8" cm="1">
        <f t="array" ref="I31">IF(F31 &gt;= H31,F31 * commission, 0)</f>
        <v>0</v>
      </c>
    </row>
    <row r="32" spans="1:9">
      <c r="A32" s="5">
        <v>44317</v>
      </c>
      <c r="B32" s="4" t="s">
        <v>68</v>
      </c>
      <c r="C32" s="4" t="s">
        <v>69</v>
      </c>
      <c r="D32" s="4" t="s">
        <v>70</v>
      </c>
      <c r="E32" s="4" t="s">
        <v>2</v>
      </c>
      <c r="F32" s="6">
        <v>12019.799999999997</v>
      </c>
      <c r="G32" s="4" t="s">
        <v>27</v>
      </c>
      <c r="H32" s="9">
        <v>15000</v>
      </c>
      <c r="I32" s="8" cm="1">
        <f t="array" ref="I32">IF(F32 &gt;= H32,F32 * commission, 0)</f>
        <v>0</v>
      </c>
    </row>
    <row r="33" spans="1:9">
      <c r="A33" s="5">
        <v>44317</v>
      </c>
      <c r="B33" s="4" t="s">
        <v>35</v>
      </c>
      <c r="C33" s="4" t="s">
        <v>36</v>
      </c>
      <c r="D33" s="4" t="s">
        <v>37</v>
      </c>
      <c r="E33" s="4" t="s">
        <v>2</v>
      </c>
      <c r="F33" s="6">
        <v>27930</v>
      </c>
      <c r="G33" s="4" t="s">
        <v>22</v>
      </c>
      <c r="H33" s="9">
        <v>15000</v>
      </c>
      <c r="I33" s="8" cm="1">
        <f t="array" ref="I33">IF(F33 &gt;= H33,F33 * commission, 0)</f>
        <v>2793</v>
      </c>
    </row>
    <row r="34" spans="1:9">
      <c r="A34" s="5">
        <v>44348</v>
      </c>
      <c r="B34" s="4" t="s">
        <v>80</v>
      </c>
      <c r="C34" s="4" t="s">
        <v>81</v>
      </c>
      <c r="D34" s="4" t="s">
        <v>82</v>
      </c>
      <c r="E34" s="4" t="s">
        <v>2</v>
      </c>
      <c r="F34" s="6">
        <v>7581.9999999999991</v>
      </c>
      <c r="G34" s="4" t="s">
        <v>27</v>
      </c>
      <c r="H34" s="9">
        <v>15000</v>
      </c>
      <c r="I34" s="8" cm="1">
        <f t="array" ref="I34">IF(F34 &gt;= H34,F34 * commission, 0)</f>
        <v>0</v>
      </c>
    </row>
    <row r="35" spans="1:9">
      <c r="A35" s="5">
        <v>44348</v>
      </c>
      <c r="B35" s="4" t="s">
        <v>35</v>
      </c>
      <c r="C35" s="4" t="s">
        <v>36</v>
      </c>
      <c r="D35" s="4" t="s">
        <v>37</v>
      </c>
      <c r="E35" s="4" t="s">
        <v>2</v>
      </c>
      <c r="F35" s="6">
        <v>8721.6</v>
      </c>
      <c r="G35" s="4" t="s">
        <v>28</v>
      </c>
      <c r="H35" s="9">
        <v>15000</v>
      </c>
      <c r="I35" s="8" cm="1">
        <f t="array" ref="I35">IF(F35 &gt;= H35,F35 * commission, 0)</f>
        <v>0</v>
      </c>
    </row>
    <row r="36" spans="1:9">
      <c r="A36" s="5">
        <v>44348</v>
      </c>
      <c r="B36" s="4" t="s">
        <v>80</v>
      </c>
      <c r="C36" s="4" t="s">
        <v>81</v>
      </c>
      <c r="D36" s="4" t="s">
        <v>82</v>
      </c>
      <c r="E36" s="4" t="s">
        <v>2</v>
      </c>
      <c r="F36" s="6">
        <v>10500</v>
      </c>
      <c r="G36" s="4" t="s">
        <v>22</v>
      </c>
      <c r="H36" s="9">
        <v>15000</v>
      </c>
      <c r="I36" s="8" cm="1">
        <f t="array" ref="I36">IF(F36 &gt;= H36,F36 * commission, 0)</f>
        <v>0</v>
      </c>
    </row>
    <row r="37" spans="1:9">
      <c r="A37" s="5">
        <v>44348</v>
      </c>
      <c r="B37" s="4" t="s">
        <v>38</v>
      </c>
      <c r="C37" s="4" t="s">
        <v>39</v>
      </c>
      <c r="D37" s="4" t="s">
        <v>40</v>
      </c>
      <c r="E37" s="4" t="s">
        <v>2</v>
      </c>
      <c r="F37" s="6">
        <v>13466.999999999998</v>
      </c>
      <c r="G37" s="4" t="s">
        <v>28</v>
      </c>
      <c r="H37" s="9">
        <v>15000</v>
      </c>
      <c r="I37" s="8" cm="1">
        <f t="array" ref="I37">IF(F37 &gt;= H37,F37 * commission, 0)</f>
        <v>0</v>
      </c>
    </row>
    <row r="38" spans="1:9">
      <c r="A38" s="5">
        <v>44348</v>
      </c>
      <c r="B38" s="4" t="s">
        <v>80</v>
      </c>
      <c r="C38" s="4" t="s">
        <v>81</v>
      </c>
      <c r="D38" s="4" t="s">
        <v>82</v>
      </c>
      <c r="E38" s="4" t="s">
        <v>2</v>
      </c>
      <c r="F38" s="6">
        <v>16036.8</v>
      </c>
      <c r="G38" s="4" t="s">
        <v>22</v>
      </c>
      <c r="H38" s="9">
        <v>15000</v>
      </c>
      <c r="I38" s="8" cm="1">
        <f t="array" ref="I38">IF(F38 &gt;= H38,F38 * commission, 0)</f>
        <v>1603.68</v>
      </c>
    </row>
    <row r="39" spans="1:9">
      <c r="A39" s="5">
        <v>44348</v>
      </c>
      <c r="B39" s="4" t="s">
        <v>77</v>
      </c>
      <c r="C39" s="4" t="s">
        <v>78</v>
      </c>
      <c r="D39" s="4" t="s">
        <v>79</v>
      </c>
      <c r="E39" s="4" t="s">
        <v>2</v>
      </c>
      <c r="F39" s="6">
        <v>16846.8</v>
      </c>
      <c r="G39" s="4" t="s">
        <v>22</v>
      </c>
      <c r="H39" s="9">
        <v>15000</v>
      </c>
      <c r="I39" s="8" cm="1">
        <f t="array" ref="I39">IF(F39 &gt;= H39,F39 * commission, 0)</f>
        <v>1684.68</v>
      </c>
    </row>
    <row r="40" spans="1:9">
      <c r="A40" s="5">
        <v>44378</v>
      </c>
      <c r="B40" s="4" t="s">
        <v>38</v>
      </c>
      <c r="C40" s="4" t="s">
        <v>39</v>
      </c>
      <c r="D40" s="4" t="s">
        <v>40</v>
      </c>
      <c r="E40" s="4" t="s">
        <v>2</v>
      </c>
      <c r="F40" s="6">
        <v>15957.2</v>
      </c>
      <c r="G40" s="4" t="s">
        <v>28</v>
      </c>
      <c r="H40" s="9">
        <v>15000</v>
      </c>
      <c r="I40" s="8" cm="1">
        <f t="array" ref="I40">IF(F40 &gt;= H40,F40 * commission, 0)</f>
        <v>1595.7200000000003</v>
      </c>
    </row>
    <row r="41" spans="1:9">
      <c r="A41" s="5">
        <v>44378</v>
      </c>
      <c r="B41" s="4" t="s">
        <v>68</v>
      </c>
      <c r="C41" s="4" t="s">
        <v>69</v>
      </c>
      <c r="D41" s="4" t="s">
        <v>70</v>
      </c>
      <c r="E41" s="4" t="s">
        <v>2</v>
      </c>
      <c r="F41" s="6">
        <v>16492</v>
      </c>
      <c r="G41" s="4" t="s">
        <v>27</v>
      </c>
      <c r="H41" s="9">
        <v>15000</v>
      </c>
      <c r="I41" s="8" cm="1">
        <f t="array" ref="I41">IF(F41 &gt;= H41,F41 * commission, 0)</f>
        <v>1649.2</v>
      </c>
    </row>
    <row r="42" spans="1:9">
      <c r="A42" s="5">
        <v>44378</v>
      </c>
      <c r="B42" s="4" t="s">
        <v>77</v>
      </c>
      <c r="C42" s="4" t="s">
        <v>78</v>
      </c>
      <c r="D42" s="4" t="s">
        <v>79</v>
      </c>
      <c r="E42" s="4" t="s">
        <v>2</v>
      </c>
      <c r="F42" s="6">
        <v>21295.4</v>
      </c>
      <c r="G42" s="4" t="s">
        <v>27</v>
      </c>
      <c r="H42" s="9">
        <v>15000</v>
      </c>
      <c r="I42" s="8" cm="1">
        <f t="array" ref="I42">IF(F42 &gt;= H42,F42 * commission, 0)</f>
        <v>2129.5400000000004</v>
      </c>
    </row>
    <row r="43" spans="1:9">
      <c r="A43" s="5">
        <v>44378</v>
      </c>
      <c r="B43" s="4" t="s">
        <v>35</v>
      </c>
      <c r="C43" s="4" t="s">
        <v>36</v>
      </c>
      <c r="D43" s="4" t="s">
        <v>37</v>
      </c>
      <c r="E43" s="4" t="s">
        <v>2</v>
      </c>
      <c r="F43" s="6">
        <v>25518.800000000003</v>
      </c>
      <c r="G43" s="4" t="s">
        <v>27</v>
      </c>
      <c r="H43" s="9">
        <v>15000</v>
      </c>
      <c r="I43" s="8" cm="1">
        <f t="array" ref="I43">IF(F43 &gt;= H43,F43 * commission, 0)</f>
        <v>2551.8800000000006</v>
      </c>
    </row>
    <row r="44" spans="1:9">
      <c r="A44" s="5">
        <v>44378</v>
      </c>
      <c r="B44" s="4" t="s">
        <v>35</v>
      </c>
      <c r="C44" s="4" t="s">
        <v>36</v>
      </c>
      <c r="D44" s="4" t="s">
        <v>37</v>
      </c>
      <c r="E44" s="4" t="s">
        <v>2</v>
      </c>
      <c r="F44" s="6">
        <v>27676.6</v>
      </c>
      <c r="G44" s="4" t="s">
        <v>22</v>
      </c>
      <c r="H44" s="9">
        <v>15000</v>
      </c>
      <c r="I44" s="8" cm="1">
        <f t="array" ref="I44">IF(F44 &gt;= H44,F44 * commission, 0)</f>
        <v>2767.66</v>
      </c>
    </row>
    <row r="45" spans="1:9">
      <c r="A45" s="5">
        <v>44378</v>
      </c>
      <c r="B45" s="4" t="s">
        <v>77</v>
      </c>
      <c r="C45" s="4" t="s">
        <v>78</v>
      </c>
      <c r="D45" s="4" t="s">
        <v>79</v>
      </c>
      <c r="E45" s="4" t="s">
        <v>2</v>
      </c>
      <c r="F45" s="6">
        <v>28395</v>
      </c>
      <c r="G45" s="4" t="s">
        <v>28</v>
      </c>
      <c r="H45" s="9">
        <v>15000</v>
      </c>
      <c r="I45" s="8" cm="1">
        <f t="array" ref="I45">IF(F45 &gt;= H45,F45 * commission, 0)</f>
        <v>2839.5</v>
      </c>
    </row>
    <row r="46" spans="1:9">
      <c r="A46" s="5">
        <v>44378</v>
      </c>
      <c r="B46" s="4" t="s">
        <v>68</v>
      </c>
      <c r="C46" s="4" t="s">
        <v>69</v>
      </c>
      <c r="D46" s="4" t="s">
        <v>70</v>
      </c>
      <c r="E46" s="4" t="s">
        <v>2</v>
      </c>
      <c r="F46" s="6">
        <v>41826.400000000001</v>
      </c>
      <c r="G46" s="4" t="s">
        <v>28</v>
      </c>
      <c r="H46" s="9">
        <v>15000</v>
      </c>
      <c r="I46" s="8" cm="1">
        <f t="array" ref="I46">IF(F46 &gt;= H46,F46 * commission, 0)</f>
        <v>4182.6400000000003</v>
      </c>
    </row>
    <row r="47" spans="1:9">
      <c r="A47" s="5">
        <v>44378</v>
      </c>
      <c r="B47" s="4" t="s">
        <v>68</v>
      </c>
      <c r="C47" s="4" t="s">
        <v>69</v>
      </c>
      <c r="D47" s="4" t="s">
        <v>70</v>
      </c>
      <c r="E47" s="4" t="s">
        <v>2</v>
      </c>
      <c r="F47" s="6">
        <v>49055.999999999993</v>
      </c>
      <c r="G47" s="4" t="s">
        <v>27</v>
      </c>
      <c r="H47" s="9">
        <v>15000</v>
      </c>
      <c r="I47" s="8" cm="1">
        <f t="array" ref="I47">IF(F47 &gt;= H47,F47 * commission, 0)</f>
        <v>4905.5999999999995</v>
      </c>
    </row>
    <row r="48" spans="1:9">
      <c r="A48" s="5">
        <v>44409</v>
      </c>
      <c r="B48" s="4" t="s">
        <v>35</v>
      </c>
      <c r="C48" s="4" t="s">
        <v>36</v>
      </c>
      <c r="D48" s="4" t="s">
        <v>37</v>
      </c>
      <c r="E48" s="4" t="s">
        <v>2</v>
      </c>
      <c r="F48" s="6">
        <v>6201</v>
      </c>
      <c r="G48" s="4" t="s">
        <v>28</v>
      </c>
      <c r="H48" s="9">
        <v>15000</v>
      </c>
      <c r="I48" s="8" cm="1">
        <f t="array" ref="I48">IF(F48 &gt;= H48,F48 * commission, 0)</f>
        <v>0</v>
      </c>
    </row>
    <row r="49" spans="1:9">
      <c r="A49" s="5">
        <v>44409</v>
      </c>
      <c r="B49" s="4" t="s">
        <v>38</v>
      </c>
      <c r="C49" s="4" t="s">
        <v>39</v>
      </c>
      <c r="D49" s="4" t="s">
        <v>40</v>
      </c>
      <c r="E49" s="4" t="s">
        <v>2</v>
      </c>
      <c r="F49" s="6">
        <v>6311.4</v>
      </c>
      <c r="G49" s="4" t="s">
        <v>28</v>
      </c>
      <c r="H49" s="9">
        <v>15000</v>
      </c>
      <c r="I49" s="8" cm="1">
        <f t="array" ref="I49">IF(F49 &gt;= H49,F49 * commission, 0)</f>
        <v>0</v>
      </c>
    </row>
    <row r="50" spans="1:9">
      <c r="A50" s="5">
        <v>44409</v>
      </c>
      <c r="B50" s="4" t="s">
        <v>80</v>
      </c>
      <c r="C50" s="4" t="s">
        <v>81</v>
      </c>
      <c r="D50" s="4" t="s">
        <v>82</v>
      </c>
      <c r="E50" s="4" t="s">
        <v>2</v>
      </c>
      <c r="F50" s="6">
        <v>7289.6</v>
      </c>
      <c r="G50" s="4" t="s">
        <v>27</v>
      </c>
      <c r="H50" s="9">
        <v>15000</v>
      </c>
      <c r="I50" s="8" cm="1">
        <f t="array" ref="I50">IF(F50 &gt;= H50,F50 * commission, 0)</f>
        <v>0</v>
      </c>
    </row>
    <row r="51" spans="1:9">
      <c r="A51" s="5">
        <v>44409</v>
      </c>
      <c r="B51" s="4" t="s">
        <v>80</v>
      </c>
      <c r="C51" s="4" t="s">
        <v>81</v>
      </c>
      <c r="D51" s="4" t="s">
        <v>82</v>
      </c>
      <c r="E51" s="4" t="s">
        <v>2</v>
      </c>
      <c r="F51" s="6">
        <v>8322.4</v>
      </c>
      <c r="G51" s="4" t="s">
        <v>27</v>
      </c>
      <c r="H51" s="9">
        <v>15000</v>
      </c>
      <c r="I51" s="8" cm="1">
        <f t="array" ref="I51">IF(F51 &gt;= H51,F51 * commission, 0)</f>
        <v>0</v>
      </c>
    </row>
    <row r="52" spans="1:9">
      <c r="A52" s="5">
        <v>44409</v>
      </c>
      <c r="B52" s="4" t="s">
        <v>77</v>
      </c>
      <c r="C52" s="4" t="s">
        <v>78</v>
      </c>
      <c r="D52" s="4" t="s">
        <v>79</v>
      </c>
      <c r="E52" s="4" t="s">
        <v>2</v>
      </c>
      <c r="F52" s="6">
        <v>8501.9000000000015</v>
      </c>
      <c r="G52" s="4" t="s">
        <v>22</v>
      </c>
      <c r="H52" s="9">
        <v>15000</v>
      </c>
      <c r="I52" s="8" cm="1">
        <f t="array" ref="I52">IF(F52 &gt;= H52,F52 * commission, 0)</f>
        <v>0</v>
      </c>
    </row>
    <row r="53" spans="1:9">
      <c r="A53" s="5">
        <v>44409</v>
      </c>
      <c r="B53" s="4" t="s">
        <v>35</v>
      </c>
      <c r="C53" s="4" t="s">
        <v>36</v>
      </c>
      <c r="D53" s="4" t="s">
        <v>37</v>
      </c>
      <c r="E53" s="4" t="s">
        <v>2</v>
      </c>
      <c r="F53" s="6">
        <v>9708.2999999999993</v>
      </c>
      <c r="G53" s="4" t="s">
        <v>22</v>
      </c>
      <c r="H53" s="9">
        <v>15000</v>
      </c>
      <c r="I53" s="8" cm="1">
        <f t="array" ref="I53">IF(F53 &gt;= H53,F53 * commission, 0)</f>
        <v>0</v>
      </c>
    </row>
    <row r="54" spans="1:9">
      <c r="A54" s="5">
        <v>44409</v>
      </c>
      <c r="B54" s="4" t="s">
        <v>80</v>
      </c>
      <c r="C54" s="4" t="s">
        <v>81</v>
      </c>
      <c r="D54" s="4" t="s">
        <v>82</v>
      </c>
      <c r="E54" s="4" t="s">
        <v>2</v>
      </c>
      <c r="F54" s="6">
        <v>12944.399999999998</v>
      </c>
      <c r="G54" s="4" t="s">
        <v>22</v>
      </c>
      <c r="H54" s="9">
        <v>15000</v>
      </c>
      <c r="I54" s="8" cm="1">
        <f t="array" ref="I54">IF(F54 &gt;= H54,F54 * commission, 0)</f>
        <v>0</v>
      </c>
    </row>
    <row r="55" spans="1:9">
      <c r="A55" s="5">
        <v>44409</v>
      </c>
      <c r="B55" s="4" t="s">
        <v>35</v>
      </c>
      <c r="C55" s="4" t="s">
        <v>36</v>
      </c>
      <c r="D55" s="4" t="s">
        <v>37</v>
      </c>
      <c r="E55" s="4" t="s">
        <v>2</v>
      </c>
      <c r="F55" s="6">
        <v>14248</v>
      </c>
      <c r="G55" s="4" t="s">
        <v>22</v>
      </c>
      <c r="H55" s="9">
        <v>15000</v>
      </c>
      <c r="I55" s="8" cm="1">
        <f t="array" ref="I55">IF(F55 &gt;= H55,F55 * commission, 0)</f>
        <v>0</v>
      </c>
    </row>
    <row r="56" spans="1:9">
      <c r="A56" s="5">
        <v>44409</v>
      </c>
      <c r="B56" s="4" t="s">
        <v>80</v>
      </c>
      <c r="C56" s="4" t="s">
        <v>81</v>
      </c>
      <c r="D56" s="4" t="s">
        <v>82</v>
      </c>
      <c r="E56" s="4" t="s">
        <v>2</v>
      </c>
      <c r="F56" s="6">
        <v>18298.399999999998</v>
      </c>
      <c r="G56" s="4" t="s">
        <v>28</v>
      </c>
      <c r="H56" s="9">
        <v>15000</v>
      </c>
      <c r="I56" s="8" cm="1">
        <f t="array" ref="I56">IF(F56 &gt;= H56,F56 * commission, 0)</f>
        <v>1829.84</v>
      </c>
    </row>
    <row r="57" spans="1:9">
      <c r="A57" s="5">
        <v>44409</v>
      </c>
      <c r="B57" s="4" t="s">
        <v>80</v>
      </c>
      <c r="C57" s="4" t="s">
        <v>81</v>
      </c>
      <c r="D57" s="4" t="s">
        <v>82</v>
      </c>
      <c r="E57" s="4" t="s">
        <v>2</v>
      </c>
      <c r="F57" s="6">
        <v>18838.399999999998</v>
      </c>
      <c r="G57" s="4" t="s">
        <v>28</v>
      </c>
      <c r="H57" s="9">
        <v>15000</v>
      </c>
      <c r="I57" s="8" cm="1">
        <f t="array" ref="I57">IF(F57 &gt;= H57,F57 * commission, 0)</f>
        <v>1883.84</v>
      </c>
    </row>
    <row r="58" spans="1:9">
      <c r="A58" s="5">
        <v>44409</v>
      </c>
      <c r="B58" s="4" t="s">
        <v>68</v>
      </c>
      <c r="C58" s="4" t="s">
        <v>69</v>
      </c>
      <c r="D58" s="4" t="s">
        <v>70</v>
      </c>
      <c r="E58" s="4" t="s">
        <v>2</v>
      </c>
      <c r="F58" s="6">
        <v>24469.599999999999</v>
      </c>
      <c r="G58" s="4" t="s">
        <v>22</v>
      </c>
      <c r="H58" s="9">
        <v>15000</v>
      </c>
      <c r="I58" s="8" cm="1">
        <f t="array" ref="I58">IF(F58 &gt;= H58,F58 * commission, 0)</f>
        <v>2446.96</v>
      </c>
    </row>
    <row r="59" spans="1:9">
      <c r="A59" s="5">
        <v>44409</v>
      </c>
      <c r="B59" s="4" t="s">
        <v>68</v>
      </c>
      <c r="C59" s="4" t="s">
        <v>69</v>
      </c>
      <c r="D59" s="4" t="s">
        <v>70</v>
      </c>
      <c r="E59" s="4" t="s">
        <v>2</v>
      </c>
      <c r="F59" s="6">
        <v>31053.4</v>
      </c>
      <c r="G59" s="4" t="s">
        <v>27</v>
      </c>
      <c r="H59" s="9">
        <v>15000</v>
      </c>
      <c r="I59" s="8" cm="1">
        <f t="array" ref="I59">IF(F59 &gt;= H59,F59 * commission, 0)</f>
        <v>3105.34</v>
      </c>
    </row>
    <row r="60" spans="1:9">
      <c r="A60" s="5">
        <v>44440</v>
      </c>
      <c r="B60" s="4" t="s">
        <v>80</v>
      </c>
      <c r="C60" s="4" t="s">
        <v>81</v>
      </c>
      <c r="D60" s="4" t="s">
        <v>82</v>
      </c>
      <c r="E60" s="4" t="s">
        <v>2</v>
      </c>
      <c r="F60" s="6">
        <v>3710</v>
      </c>
      <c r="G60" s="4" t="s">
        <v>28</v>
      </c>
      <c r="H60" s="9">
        <v>15000</v>
      </c>
      <c r="I60" s="8" cm="1">
        <f t="array" ref="I60">IF(F60 &gt;= H60,F60 * commission, 0)</f>
        <v>0</v>
      </c>
    </row>
    <row r="61" spans="1:9">
      <c r="A61" s="5">
        <v>44440</v>
      </c>
      <c r="B61" s="4" t="s">
        <v>77</v>
      </c>
      <c r="C61" s="4" t="s">
        <v>78</v>
      </c>
      <c r="D61" s="4" t="s">
        <v>79</v>
      </c>
      <c r="E61" s="4" t="s">
        <v>2</v>
      </c>
      <c r="F61" s="6">
        <v>6600</v>
      </c>
      <c r="G61" s="4" t="s">
        <v>27</v>
      </c>
      <c r="H61" s="9">
        <v>15000</v>
      </c>
      <c r="I61" s="8" cm="1">
        <f t="array" ref="I61">IF(F61 &gt;= H61,F61 * commission, 0)</f>
        <v>0</v>
      </c>
    </row>
    <row r="62" spans="1:9">
      <c r="A62" s="5">
        <v>44440</v>
      </c>
      <c r="B62" s="4" t="s">
        <v>68</v>
      </c>
      <c r="C62" s="4" t="s">
        <v>69</v>
      </c>
      <c r="D62" s="4" t="s">
        <v>70</v>
      </c>
      <c r="E62" s="4" t="s">
        <v>2</v>
      </c>
      <c r="F62" s="6">
        <v>8001</v>
      </c>
      <c r="G62" s="4" t="s">
        <v>27</v>
      </c>
      <c r="H62" s="9">
        <v>15000</v>
      </c>
      <c r="I62" s="8" cm="1">
        <f t="array" ref="I62">IF(F62 &gt;= H62,F62 * commission, 0)</f>
        <v>0</v>
      </c>
    </row>
    <row r="63" spans="1:9">
      <c r="A63" s="5">
        <v>44440</v>
      </c>
      <c r="B63" s="4" t="s">
        <v>80</v>
      </c>
      <c r="C63" s="4" t="s">
        <v>81</v>
      </c>
      <c r="D63" s="4" t="s">
        <v>82</v>
      </c>
      <c r="E63" s="4" t="s">
        <v>2</v>
      </c>
      <c r="F63" s="6">
        <v>8772</v>
      </c>
      <c r="G63" s="4" t="s">
        <v>22</v>
      </c>
      <c r="H63" s="9">
        <v>15000</v>
      </c>
      <c r="I63" s="8" cm="1">
        <f t="array" ref="I63">IF(F63 &gt;= H63,F63 * commission, 0)</f>
        <v>0</v>
      </c>
    </row>
    <row r="64" spans="1:9">
      <c r="A64" s="5">
        <v>44440</v>
      </c>
      <c r="B64" s="4" t="s">
        <v>80</v>
      </c>
      <c r="C64" s="4" t="s">
        <v>81</v>
      </c>
      <c r="D64" s="4" t="s">
        <v>82</v>
      </c>
      <c r="E64" s="4" t="s">
        <v>2</v>
      </c>
      <c r="F64" s="6">
        <v>14089.199999999999</v>
      </c>
      <c r="G64" s="4" t="s">
        <v>22</v>
      </c>
      <c r="H64" s="9">
        <v>15000</v>
      </c>
      <c r="I64" s="8" cm="1">
        <f t="array" ref="I64">IF(F64 &gt;= H64,F64 * commission, 0)</f>
        <v>0</v>
      </c>
    </row>
    <row r="65" spans="1:9">
      <c r="A65" s="5">
        <v>44440</v>
      </c>
      <c r="B65" s="4" t="s">
        <v>35</v>
      </c>
      <c r="C65" s="4" t="s">
        <v>36</v>
      </c>
      <c r="D65" s="4" t="s">
        <v>37</v>
      </c>
      <c r="E65" s="4" t="s">
        <v>2</v>
      </c>
      <c r="F65" s="6">
        <v>16702.400000000001</v>
      </c>
      <c r="G65" s="4" t="s">
        <v>22</v>
      </c>
      <c r="H65" s="9">
        <v>15000</v>
      </c>
      <c r="I65" s="8" cm="1">
        <f t="array" ref="I65">IF(F65 &gt;= H65,F65 * commission, 0)</f>
        <v>1670.2400000000002</v>
      </c>
    </row>
    <row r="66" spans="1:9">
      <c r="A66" s="5">
        <v>44440</v>
      </c>
      <c r="B66" s="4" t="s">
        <v>35</v>
      </c>
      <c r="C66" s="4" t="s">
        <v>36</v>
      </c>
      <c r="D66" s="4" t="s">
        <v>37</v>
      </c>
      <c r="E66" s="4" t="s">
        <v>2</v>
      </c>
      <c r="F66" s="6">
        <v>21216</v>
      </c>
      <c r="G66" s="4" t="s">
        <v>22</v>
      </c>
      <c r="H66" s="9">
        <v>15000</v>
      </c>
      <c r="I66" s="8" cm="1">
        <f t="array" ref="I66">IF(F66 &gt;= H66,F66 * commission, 0)</f>
        <v>2121.6</v>
      </c>
    </row>
    <row r="67" spans="1:9">
      <c r="A67" s="5">
        <v>44440</v>
      </c>
      <c r="B67" s="4" t="s">
        <v>77</v>
      </c>
      <c r="C67" s="4" t="s">
        <v>78</v>
      </c>
      <c r="D67" s="4" t="s">
        <v>79</v>
      </c>
      <c r="E67" s="4" t="s">
        <v>2</v>
      </c>
      <c r="F67" s="6">
        <v>21546</v>
      </c>
      <c r="G67" s="4" t="s">
        <v>27</v>
      </c>
      <c r="H67" s="9">
        <v>15000</v>
      </c>
      <c r="I67" s="8" cm="1">
        <f t="array" ref="I67">IF(F67 &gt;= H67,F67 * commission, 0)</f>
        <v>2154.6</v>
      </c>
    </row>
    <row r="68" spans="1:9">
      <c r="A68" s="5">
        <v>44440</v>
      </c>
      <c r="B68" s="4" t="s">
        <v>77</v>
      </c>
      <c r="C68" s="4" t="s">
        <v>78</v>
      </c>
      <c r="D68" s="4" t="s">
        <v>79</v>
      </c>
      <c r="E68" s="4" t="s">
        <v>2</v>
      </c>
      <c r="F68" s="6">
        <v>31186.6</v>
      </c>
      <c r="G68" s="4" t="s">
        <v>27</v>
      </c>
      <c r="H68" s="9">
        <v>15000</v>
      </c>
      <c r="I68" s="8" cm="1">
        <f t="array" ref="I68">IF(F68 &gt;= H68,F68 * commission, 0)</f>
        <v>3118.66</v>
      </c>
    </row>
    <row r="69" spans="1:9">
      <c r="A69" s="5">
        <v>44440</v>
      </c>
      <c r="B69" s="4" t="s">
        <v>35</v>
      </c>
      <c r="C69" s="4" t="s">
        <v>36</v>
      </c>
      <c r="D69" s="4" t="s">
        <v>37</v>
      </c>
      <c r="E69" s="4" t="s">
        <v>2</v>
      </c>
      <c r="F69" s="6">
        <v>31999.200000000001</v>
      </c>
      <c r="G69" s="4" t="s">
        <v>22</v>
      </c>
      <c r="H69" s="9">
        <v>15000</v>
      </c>
      <c r="I69" s="8" cm="1">
        <f t="array" ref="I69">IF(F69 &gt;= H69,F69 * commission, 0)</f>
        <v>3199.92</v>
      </c>
    </row>
    <row r="70" spans="1:9">
      <c r="A70" s="5">
        <v>44440</v>
      </c>
      <c r="B70" s="4" t="s">
        <v>77</v>
      </c>
      <c r="C70" s="4" t="s">
        <v>78</v>
      </c>
      <c r="D70" s="4" t="s">
        <v>79</v>
      </c>
      <c r="E70" s="4" t="s">
        <v>2</v>
      </c>
      <c r="F70" s="6">
        <v>37520</v>
      </c>
      <c r="G70" s="4" t="s">
        <v>22</v>
      </c>
      <c r="H70" s="9">
        <v>15000</v>
      </c>
      <c r="I70" s="8" cm="1">
        <f t="array" ref="I70">IF(F70 &gt;= H70,F70 * commission, 0)</f>
        <v>3752</v>
      </c>
    </row>
    <row r="71" spans="1:9">
      <c r="A71" s="5">
        <v>44440</v>
      </c>
      <c r="B71" s="4" t="s">
        <v>77</v>
      </c>
      <c r="C71" s="4" t="s">
        <v>78</v>
      </c>
      <c r="D71" s="4" t="s">
        <v>79</v>
      </c>
      <c r="E71" s="4" t="s">
        <v>2</v>
      </c>
      <c r="F71" s="6">
        <v>41215.299999999996</v>
      </c>
      <c r="G71" s="4" t="s">
        <v>28</v>
      </c>
      <c r="H71" s="9">
        <v>15000</v>
      </c>
      <c r="I71" s="8" cm="1">
        <f t="array" ref="I71">IF(F71 &gt;= H71,F71 * commission, 0)</f>
        <v>4121.53</v>
      </c>
    </row>
    <row r="72" spans="1:9">
      <c r="A72" s="5">
        <v>44470</v>
      </c>
      <c r="B72" s="4" t="s">
        <v>35</v>
      </c>
      <c r="C72" s="4" t="s">
        <v>36</v>
      </c>
      <c r="D72" s="4" t="s">
        <v>37</v>
      </c>
      <c r="E72" s="4" t="s">
        <v>2</v>
      </c>
      <c r="F72" s="6">
        <v>3035.1</v>
      </c>
      <c r="G72" s="4" t="s">
        <v>22</v>
      </c>
      <c r="H72" s="9">
        <v>15000</v>
      </c>
      <c r="I72" s="8" cm="1">
        <f t="array" ref="I72">IF(F72 &gt;= H72,F72 * commission, 0)</f>
        <v>0</v>
      </c>
    </row>
    <row r="73" spans="1:9">
      <c r="A73" s="5">
        <v>44470</v>
      </c>
      <c r="B73" s="4" t="s">
        <v>77</v>
      </c>
      <c r="C73" s="4" t="s">
        <v>78</v>
      </c>
      <c r="D73" s="4" t="s">
        <v>79</v>
      </c>
      <c r="E73" s="4" t="s">
        <v>2</v>
      </c>
      <c r="F73" s="6">
        <v>6688</v>
      </c>
      <c r="G73" s="4" t="s">
        <v>22</v>
      </c>
      <c r="H73" s="9">
        <v>15000</v>
      </c>
      <c r="I73" s="8" cm="1">
        <f t="array" ref="I73">IF(F73 &gt;= H73,F73 * commission, 0)</f>
        <v>0</v>
      </c>
    </row>
    <row r="74" spans="1:9">
      <c r="A74" s="5">
        <v>44470</v>
      </c>
      <c r="B74" s="4" t="s">
        <v>35</v>
      </c>
      <c r="C74" s="4" t="s">
        <v>36</v>
      </c>
      <c r="D74" s="4" t="s">
        <v>37</v>
      </c>
      <c r="E74" s="4" t="s">
        <v>2</v>
      </c>
      <c r="F74" s="6">
        <v>7024.2</v>
      </c>
      <c r="G74" s="4" t="s">
        <v>28</v>
      </c>
      <c r="H74" s="9">
        <v>15000</v>
      </c>
      <c r="I74" s="8" cm="1">
        <f t="array" ref="I74">IF(F74 &gt;= H74,F74 * commission, 0)</f>
        <v>0</v>
      </c>
    </row>
    <row r="75" spans="1:9">
      <c r="A75" s="5">
        <v>44470</v>
      </c>
      <c r="B75" s="4" t="s">
        <v>77</v>
      </c>
      <c r="C75" s="4" t="s">
        <v>78</v>
      </c>
      <c r="D75" s="4" t="s">
        <v>79</v>
      </c>
      <c r="E75" s="4" t="s">
        <v>2</v>
      </c>
      <c r="F75" s="6">
        <v>7139.0000000000009</v>
      </c>
      <c r="G75" s="4" t="s">
        <v>27</v>
      </c>
      <c r="H75" s="9">
        <v>15000</v>
      </c>
      <c r="I75" s="8" cm="1">
        <f t="array" ref="I75">IF(F75 &gt;= H75,F75 * commission, 0)</f>
        <v>0</v>
      </c>
    </row>
    <row r="76" spans="1:9">
      <c r="A76" s="5">
        <v>44470</v>
      </c>
      <c r="B76" s="4" t="s">
        <v>80</v>
      </c>
      <c r="C76" s="4" t="s">
        <v>81</v>
      </c>
      <c r="D76" s="4" t="s">
        <v>82</v>
      </c>
      <c r="E76" s="4" t="s">
        <v>2</v>
      </c>
      <c r="F76" s="6">
        <v>10948</v>
      </c>
      <c r="G76" s="4" t="s">
        <v>22</v>
      </c>
      <c r="H76" s="9">
        <v>15000</v>
      </c>
      <c r="I76" s="8" cm="1">
        <f t="array" ref="I76">IF(F76 &gt;= H76,F76 * commission, 0)</f>
        <v>0</v>
      </c>
    </row>
    <row r="77" spans="1:9">
      <c r="A77" s="5">
        <v>44470</v>
      </c>
      <c r="B77" s="4" t="s">
        <v>80</v>
      </c>
      <c r="C77" s="4" t="s">
        <v>81</v>
      </c>
      <c r="D77" s="4" t="s">
        <v>82</v>
      </c>
      <c r="E77" s="4" t="s">
        <v>2</v>
      </c>
      <c r="F77" s="6">
        <v>10988.800000000001</v>
      </c>
      <c r="G77" s="4" t="s">
        <v>27</v>
      </c>
      <c r="H77" s="9">
        <v>15000</v>
      </c>
      <c r="I77" s="8" cm="1">
        <f t="array" ref="I77">IF(F77 &gt;= H77,F77 * commission, 0)</f>
        <v>0</v>
      </c>
    </row>
    <row r="78" spans="1:9">
      <c r="A78" s="5">
        <v>44470</v>
      </c>
      <c r="B78" s="4" t="s">
        <v>80</v>
      </c>
      <c r="C78" s="4" t="s">
        <v>81</v>
      </c>
      <c r="D78" s="4" t="s">
        <v>82</v>
      </c>
      <c r="E78" s="4" t="s">
        <v>2</v>
      </c>
      <c r="F78" s="6">
        <v>12306.6</v>
      </c>
      <c r="G78" s="4" t="s">
        <v>22</v>
      </c>
      <c r="H78" s="9">
        <v>15000</v>
      </c>
      <c r="I78" s="8" cm="1">
        <f t="array" ref="I78">IF(F78 &gt;= H78,F78 * commission, 0)</f>
        <v>0</v>
      </c>
    </row>
    <row r="79" spans="1:9">
      <c r="A79" s="5">
        <v>44470</v>
      </c>
      <c r="B79" s="4" t="s">
        <v>80</v>
      </c>
      <c r="C79" s="4" t="s">
        <v>81</v>
      </c>
      <c r="D79" s="4" t="s">
        <v>82</v>
      </c>
      <c r="E79" s="4" t="s">
        <v>2</v>
      </c>
      <c r="F79" s="6">
        <v>16077</v>
      </c>
      <c r="G79" s="4" t="s">
        <v>22</v>
      </c>
      <c r="H79" s="9">
        <v>15000</v>
      </c>
      <c r="I79" s="8" cm="1">
        <f t="array" ref="I79">IF(F79 &gt;= H79,F79 * commission, 0)</f>
        <v>1607.7</v>
      </c>
    </row>
    <row r="80" spans="1:9">
      <c r="A80" s="5">
        <v>44470</v>
      </c>
      <c r="B80" s="4" t="s">
        <v>38</v>
      </c>
      <c r="C80" s="4" t="s">
        <v>39</v>
      </c>
      <c r="D80" s="4" t="s">
        <v>40</v>
      </c>
      <c r="E80" s="4" t="s">
        <v>2</v>
      </c>
      <c r="F80" s="6">
        <v>19594</v>
      </c>
      <c r="G80" s="4" t="s">
        <v>22</v>
      </c>
      <c r="H80" s="9">
        <v>15000</v>
      </c>
      <c r="I80" s="8" cm="1">
        <f t="array" ref="I80">IF(F80 &gt;= H80,F80 * commission, 0)</f>
        <v>1959.4</v>
      </c>
    </row>
    <row r="81" spans="1:9">
      <c r="A81" s="5">
        <v>44470</v>
      </c>
      <c r="B81" s="4" t="s">
        <v>35</v>
      </c>
      <c r="C81" s="4" t="s">
        <v>36</v>
      </c>
      <c r="D81" s="4" t="s">
        <v>37</v>
      </c>
      <c r="E81" s="4" t="s">
        <v>2</v>
      </c>
      <c r="F81" s="6">
        <v>19946.199999999997</v>
      </c>
      <c r="G81" s="4" t="s">
        <v>28</v>
      </c>
      <c r="H81" s="9">
        <v>15000</v>
      </c>
      <c r="I81" s="8" cm="1">
        <f t="array" ref="I81">IF(F81 &gt;= H81,F81 * commission, 0)</f>
        <v>1994.62</v>
      </c>
    </row>
    <row r="82" spans="1:9">
      <c r="A82" s="5">
        <v>44470</v>
      </c>
      <c r="B82" s="4" t="s">
        <v>68</v>
      </c>
      <c r="C82" s="4" t="s">
        <v>69</v>
      </c>
      <c r="D82" s="4" t="s">
        <v>70</v>
      </c>
      <c r="E82" s="4" t="s">
        <v>2</v>
      </c>
      <c r="F82" s="6">
        <v>26773.4</v>
      </c>
      <c r="G82" s="4" t="s">
        <v>28</v>
      </c>
      <c r="H82" s="9">
        <v>15000</v>
      </c>
      <c r="I82" s="8" cm="1">
        <f t="array" ref="I82">IF(F82 &gt;= H82,F82 * commission, 0)</f>
        <v>2677.34</v>
      </c>
    </row>
    <row r="83" spans="1:9">
      <c r="A83" s="5">
        <v>44470</v>
      </c>
      <c r="B83" s="4" t="s">
        <v>80</v>
      </c>
      <c r="C83" s="4" t="s">
        <v>81</v>
      </c>
      <c r="D83" s="4" t="s">
        <v>82</v>
      </c>
      <c r="E83" s="4" t="s">
        <v>2</v>
      </c>
      <c r="F83" s="6">
        <v>28464.9</v>
      </c>
      <c r="G83" s="4" t="s">
        <v>28</v>
      </c>
      <c r="H83" s="9">
        <v>15000</v>
      </c>
      <c r="I83" s="8" cm="1">
        <f t="array" ref="I83">IF(F83 &gt;= H83,F83 * commission, 0)</f>
        <v>2846.4900000000002</v>
      </c>
    </row>
    <row r="84" spans="1:9">
      <c r="A84" s="5">
        <v>44470</v>
      </c>
      <c r="B84" s="4" t="s">
        <v>77</v>
      </c>
      <c r="C84" s="4" t="s">
        <v>78</v>
      </c>
      <c r="D84" s="4" t="s">
        <v>79</v>
      </c>
      <c r="E84" s="4" t="s">
        <v>2</v>
      </c>
      <c r="F84" s="6">
        <v>37544.800000000003</v>
      </c>
      <c r="G84" s="4" t="s">
        <v>27</v>
      </c>
      <c r="H84" s="9">
        <v>15000</v>
      </c>
      <c r="I84" s="8" cm="1">
        <f t="array" ref="I84">IF(F84 &gt;= H84,F84 * commission, 0)</f>
        <v>3754.4800000000005</v>
      </c>
    </row>
    <row r="85" spans="1:9">
      <c r="A85" s="5">
        <v>44470</v>
      </c>
      <c r="B85" s="4" t="s">
        <v>80</v>
      </c>
      <c r="C85" s="4" t="s">
        <v>81</v>
      </c>
      <c r="D85" s="4" t="s">
        <v>82</v>
      </c>
      <c r="E85" s="4" t="s">
        <v>2</v>
      </c>
      <c r="F85" s="6">
        <v>40224.800000000003</v>
      </c>
      <c r="G85" s="4" t="s">
        <v>27</v>
      </c>
      <c r="H85" s="9">
        <v>15000</v>
      </c>
      <c r="I85" s="8" cm="1">
        <f t="array" ref="I85">IF(F85 &gt;= H85,F85 * commission, 0)</f>
        <v>4022.4800000000005</v>
      </c>
    </row>
    <row r="86" spans="1:9">
      <c r="A86" s="5">
        <v>44470</v>
      </c>
      <c r="B86" s="4" t="s">
        <v>38</v>
      </c>
      <c r="C86" s="4" t="s">
        <v>39</v>
      </c>
      <c r="D86" s="4" t="s">
        <v>40</v>
      </c>
      <c r="E86" s="4" t="s">
        <v>2</v>
      </c>
      <c r="F86" s="6">
        <v>43591.8</v>
      </c>
      <c r="G86" s="4" t="s">
        <v>27</v>
      </c>
      <c r="H86" s="9">
        <v>15000</v>
      </c>
      <c r="I86" s="8" cm="1">
        <f t="array" ref="I86">IF(F86 &gt;= H86,F86 * commission, 0)</f>
        <v>4359.18</v>
      </c>
    </row>
    <row r="87" spans="1:9">
      <c r="A87" s="5">
        <v>44501</v>
      </c>
      <c r="B87" s="4" t="s">
        <v>68</v>
      </c>
      <c r="C87" s="4" t="s">
        <v>69</v>
      </c>
      <c r="D87" s="4" t="s">
        <v>70</v>
      </c>
      <c r="E87" s="4" t="s">
        <v>2</v>
      </c>
      <c r="F87" s="6">
        <v>9292.5</v>
      </c>
      <c r="G87" s="4" t="s">
        <v>22</v>
      </c>
      <c r="H87" s="9">
        <v>15000</v>
      </c>
      <c r="I87" s="8" cm="1">
        <f t="array" ref="I87">IF(F87 &gt;= H87,F87 * commission, 0)</f>
        <v>0</v>
      </c>
    </row>
    <row r="88" spans="1:9">
      <c r="A88" s="5">
        <v>44501</v>
      </c>
      <c r="B88" s="4" t="s">
        <v>38</v>
      </c>
      <c r="C88" s="4" t="s">
        <v>39</v>
      </c>
      <c r="D88" s="4" t="s">
        <v>40</v>
      </c>
      <c r="E88" s="4" t="s">
        <v>2</v>
      </c>
      <c r="F88" s="6">
        <v>28761.599999999999</v>
      </c>
      <c r="G88" s="4" t="s">
        <v>28</v>
      </c>
      <c r="H88" s="9">
        <v>15000</v>
      </c>
      <c r="I88" s="8" cm="1">
        <f t="array" ref="I88">IF(F88 &gt;= H88,F88 * commission, 0)</f>
        <v>2876.16</v>
      </c>
    </row>
    <row r="89" spans="1:9">
      <c r="A89" s="5">
        <v>44501</v>
      </c>
      <c r="B89" s="4" t="s">
        <v>80</v>
      </c>
      <c r="C89" s="4" t="s">
        <v>81</v>
      </c>
      <c r="D89" s="4" t="s">
        <v>82</v>
      </c>
      <c r="E89" s="4" t="s">
        <v>2</v>
      </c>
      <c r="F89" s="6">
        <v>41932.799999999996</v>
      </c>
      <c r="G89" s="4" t="s">
        <v>27</v>
      </c>
      <c r="H89" s="9">
        <v>15000</v>
      </c>
      <c r="I89" s="8" cm="1">
        <f t="array" ref="I89">IF(F89 &gt;= H89,F89 * commission, 0)</f>
        <v>4193.28</v>
      </c>
    </row>
    <row r="90" spans="1:9">
      <c r="A90" s="5">
        <v>44501</v>
      </c>
      <c r="B90" s="4" t="s">
        <v>35</v>
      </c>
      <c r="C90" s="4" t="s">
        <v>36</v>
      </c>
      <c r="D90" s="4" t="s">
        <v>37</v>
      </c>
      <c r="E90" s="4" t="s">
        <v>2</v>
      </c>
      <c r="F90" s="6">
        <v>42427</v>
      </c>
      <c r="G90" s="4" t="s">
        <v>22</v>
      </c>
      <c r="H90" s="9">
        <v>15000</v>
      </c>
      <c r="I90" s="8" cm="1">
        <f t="array" ref="I90">IF(F90 &gt;= H90,F90 * commission, 0)</f>
        <v>4242.7</v>
      </c>
    </row>
    <row r="91" spans="1:9">
      <c r="A91" s="5">
        <v>44501</v>
      </c>
      <c r="B91" s="4" t="s">
        <v>68</v>
      </c>
      <c r="C91" s="4" t="s">
        <v>69</v>
      </c>
      <c r="D91" s="4" t="s">
        <v>70</v>
      </c>
      <c r="E91" s="4" t="s">
        <v>2</v>
      </c>
      <c r="F91" s="6">
        <v>47510.400000000001</v>
      </c>
      <c r="G91" s="4" t="s">
        <v>22</v>
      </c>
      <c r="H91" s="9">
        <v>15000</v>
      </c>
      <c r="I91" s="8" cm="1">
        <f t="array" ref="I91">IF(F91 &gt;= H91,F91 * commission, 0)</f>
        <v>4751.04</v>
      </c>
    </row>
    <row r="92" spans="1:9">
      <c r="A92" s="5">
        <v>44531</v>
      </c>
      <c r="B92" s="4" t="s">
        <v>38</v>
      </c>
      <c r="C92" s="4" t="s">
        <v>39</v>
      </c>
      <c r="D92" s="4" t="s">
        <v>40</v>
      </c>
      <c r="E92" s="4" t="s">
        <v>2</v>
      </c>
      <c r="F92" s="6">
        <v>7721.5999999999995</v>
      </c>
      <c r="G92" s="4" t="s">
        <v>27</v>
      </c>
      <c r="H92" s="9">
        <v>15000</v>
      </c>
      <c r="I92" s="8" cm="1">
        <f t="array" ref="I92">IF(F92 &gt;= H92,F92 * commission, 0)</f>
        <v>0</v>
      </c>
    </row>
    <row r="93" spans="1:9">
      <c r="A93" s="5">
        <v>44531</v>
      </c>
      <c r="B93" s="4" t="s">
        <v>80</v>
      </c>
      <c r="C93" s="4" t="s">
        <v>81</v>
      </c>
      <c r="D93" s="4" t="s">
        <v>82</v>
      </c>
      <c r="E93" s="4" t="s">
        <v>2</v>
      </c>
      <c r="F93" s="6">
        <v>8925.7000000000007</v>
      </c>
      <c r="G93" s="4" t="s">
        <v>27</v>
      </c>
      <c r="H93" s="9">
        <v>15000</v>
      </c>
      <c r="I93" s="8" cm="1">
        <f t="array" ref="I93">IF(F93 &gt;= H93,F93 * commission, 0)</f>
        <v>0</v>
      </c>
    </row>
    <row r="94" spans="1:9">
      <c r="A94" s="5">
        <v>44531</v>
      </c>
      <c r="B94" s="4" t="s">
        <v>80</v>
      </c>
      <c r="C94" s="4" t="s">
        <v>81</v>
      </c>
      <c r="D94" s="4" t="s">
        <v>82</v>
      </c>
      <c r="E94" s="4" t="s">
        <v>2</v>
      </c>
      <c r="F94" s="6">
        <v>15802.6</v>
      </c>
      <c r="G94" s="4" t="s">
        <v>28</v>
      </c>
      <c r="H94" s="9">
        <v>15000</v>
      </c>
      <c r="I94" s="8" cm="1">
        <f t="array" ref="I94">IF(F94 &gt;= H94,F94 * commission, 0)</f>
        <v>1580.2600000000002</v>
      </c>
    </row>
    <row r="95" spans="1:9">
      <c r="A95" s="5">
        <v>44531</v>
      </c>
      <c r="B95" s="4" t="s">
        <v>68</v>
      </c>
      <c r="C95" s="4" t="s">
        <v>69</v>
      </c>
      <c r="D95" s="4" t="s">
        <v>70</v>
      </c>
      <c r="E95" s="4" t="s">
        <v>2</v>
      </c>
      <c r="F95" s="6">
        <v>21103.3</v>
      </c>
      <c r="G95" s="4" t="s">
        <v>28</v>
      </c>
      <c r="H95" s="9">
        <v>15000</v>
      </c>
      <c r="I95" s="8" cm="1">
        <f t="array" ref="I95">IF(F95 &gt;= H95,F95 * commission, 0)</f>
        <v>2110.33</v>
      </c>
    </row>
    <row r="96" spans="1:9">
      <c r="A96" s="5">
        <v>44531</v>
      </c>
      <c r="B96" s="4" t="s">
        <v>68</v>
      </c>
      <c r="C96" s="4" t="s">
        <v>69</v>
      </c>
      <c r="D96" s="4" t="s">
        <v>70</v>
      </c>
      <c r="E96" s="4" t="s">
        <v>2</v>
      </c>
      <c r="F96" s="6">
        <v>22351.100000000002</v>
      </c>
      <c r="G96" s="4" t="s">
        <v>28</v>
      </c>
      <c r="H96" s="9">
        <v>15000</v>
      </c>
      <c r="I96" s="8" cm="1">
        <f t="array" ref="I96">IF(F96 &gt;= H96,F96 * commission, 0)</f>
        <v>2235.11</v>
      </c>
    </row>
    <row r="97" spans="1:9">
      <c r="A97" s="5">
        <v>44531</v>
      </c>
      <c r="B97" s="4" t="s">
        <v>80</v>
      </c>
      <c r="C97" s="4" t="s">
        <v>81</v>
      </c>
      <c r="D97" s="4" t="s">
        <v>82</v>
      </c>
      <c r="E97" s="4" t="s">
        <v>2</v>
      </c>
      <c r="F97" s="6">
        <v>43974</v>
      </c>
      <c r="G97" s="4" t="s">
        <v>27</v>
      </c>
      <c r="H97" s="9">
        <v>15000</v>
      </c>
      <c r="I97" s="8" cm="1">
        <f t="array" ref="I97">IF(F97 &gt;= H97,F97 * commission, 0)</f>
        <v>4397.4000000000005</v>
      </c>
    </row>
  </sheetData>
  <conditionalFormatting sqref="F1:F1048576">
    <cfRule type="top10" dxfId="24" priority="1" rank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0F0C9-6EC7-42F4-8F46-7F55E60C2434}">
  <dimension ref="A1:AE100"/>
  <sheetViews>
    <sheetView workbookViewId="0">
      <selection activeCell="K2" sqref="K2:AE2"/>
    </sheetView>
  </sheetViews>
  <sheetFormatPr defaultRowHeight="15"/>
  <cols>
    <col min="1" max="1" width="6.85546875" bestFit="1" customWidth="1"/>
    <col min="2" max="2" width="13.85546875" bestFit="1" customWidth="1"/>
    <col min="3" max="3" width="9.5703125" bestFit="1" customWidth="1"/>
    <col min="4" max="4" width="9.28515625" bestFit="1" customWidth="1"/>
    <col min="5" max="5" width="9" bestFit="1" customWidth="1"/>
    <col min="6" max="6" width="11.7109375" bestFit="1" customWidth="1"/>
    <col min="7" max="7" width="12.28515625" bestFit="1" customWidth="1"/>
    <col min="8" max="8" width="6.85546875" bestFit="1" customWidth="1"/>
    <col min="9" max="9" width="11.42578125" bestFit="1" customWidth="1"/>
    <col min="11" max="11" width="12.85546875" bestFit="1" customWidth="1"/>
    <col min="12" max="12" width="12.28515625" bestFit="1" customWidth="1"/>
  </cols>
  <sheetData>
    <row r="1" spans="1:31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6" t="s">
        <v>15</v>
      </c>
      <c r="G1" s="4" t="s">
        <v>16</v>
      </c>
      <c r="H1" s="6" t="s">
        <v>17</v>
      </c>
      <c r="I1" s="6" t="s">
        <v>18</v>
      </c>
      <c r="K1" t="s">
        <v>41</v>
      </c>
      <c r="L1" t="s">
        <v>44</v>
      </c>
    </row>
    <row r="2" spans="1:31">
      <c r="A2" s="5">
        <v>44197</v>
      </c>
      <c r="B2" s="4" t="s">
        <v>41</v>
      </c>
      <c r="C2" s="4" t="s">
        <v>42</v>
      </c>
      <c r="D2" s="4" t="s">
        <v>43</v>
      </c>
      <c r="E2" s="4" t="s">
        <v>3</v>
      </c>
      <c r="F2" s="6">
        <v>3008.3999999999996</v>
      </c>
      <c r="G2" s="4" t="s">
        <v>22</v>
      </c>
      <c r="H2" s="9">
        <v>15000</v>
      </c>
      <c r="I2" s="8" cm="1">
        <f t="array" ref="I2">IF(F2 &gt;= H2,F2 * commission, 0)</f>
        <v>0</v>
      </c>
      <c r="K2">
        <f>SUMIF($B:$B, K1, $F:$F)</f>
        <v>390105.1</v>
      </c>
      <c r="L2">
        <f t="shared" ref="L2:AE2" si="0">SUMIF($B:$B, L1, $F:$F)</f>
        <v>285253.10000000003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  <row r="3" spans="1:31">
      <c r="A3" s="5">
        <v>44197</v>
      </c>
      <c r="B3" s="4" t="s">
        <v>44</v>
      </c>
      <c r="C3" s="4" t="s">
        <v>45</v>
      </c>
      <c r="D3" s="4" t="s">
        <v>46</v>
      </c>
      <c r="E3" s="4" t="s">
        <v>3</v>
      </c>
      <c r="F3" s="6">
        <v>7221.5999999999995</v>
      </c>
      <c r="G3" s="4" t="s">
        <v>28</v>
      </c>
      <c r="H3" s="9">
        <v>15000</v>
      </c>
      <c r="I3" s="8" cm="1">
        <f t="array" ref="I3">IF(F3 &gt;= H3,F3 * commission, 0)</f>
        <v>0</v>
      </c>
    </row>
    <row r="4" spans="1:31">
      <c r="A4" s="5">
        <v>44197</v>
      </c>
      <c r="B4" s="4" t="s">
        <v>41</v>
      </c>
      <c r="C4" s="4" t="s">
        <v>42</v>
      </c>
      <c r="D4" s="4" t="s">
        <v>43</v>
      </c>
      <c r="E4" s="4" t="s">
        <v>3</v>
      </c>
      <c r="F4" s="6">
        <v>10903.199999999999</v>
      </c>
      <c r="G4" s="4" t="s">
        <v>22</v>
      </c>
      <c r="H4" s="9">
        <v>15000</v>
      </c>
      <c r="I4" s="8" cm="1">
        <f t="array" ref="I4">IF(F4 &gt;= H4,F4 * commission, 0)</f>
        <v>0</v>
      </c>
    </row>
    <row r="5" spans="1:31">
      <c r="A5" s="5">
        <v>44197</v>
      </c>
      <c r="B5" s="4" t="s">
        <v>47</v>
      </c>
      <c r="C5" s="4" t="s">
        <v>48</v>
      </c>
      <c r="D5" s="4" t="s">
        <v>49</v>
      </c>
      <c r="E5" s="4" t="s">
        <v>3</v>
      </c>
      <c r="F5" s="6">
        <v>14616</v>
      </c>
      <c r="G5" s="4" t="s">
        <v>22</v>
      </c>
      <c r="H5" s="9">
        <v>15000</v>
      </c>
      <c r="I5" s="8" cm="1">
        <f t="array" ref="I5">IF(F5 &gt;= H5,F5 * commission, 0)</f>
        <v>0</v>
      </c>
    </row>
    <row r="6" spans="1:31">
      <c r="A6" s="5">
        <v>44197</v>
      </c>
      <c r="B6" s="4" t="s">
        <v>50</v>
      </c>
      <c r="C6" s="4" t="s">
        <v>51</v>
      </c>
      <c r="D6" s="4" t="s">
        <v>52</v>
      </c>
      <c r="E6" s="4" t="s">
        <v>3</v>
      </c>
      <c r="F6" s="6">
        <v>18885.900000000001</v>
      </c>
      <c r="G6" s="4" t="s">
        <v>28</v>
      </c>
      <c r="H6" s="9">
        <v>15000</v>
      </c>
      <c r="I6" s="8" cm="1">
        <f t="array" ref="I6">IF(F6 &gt;= H6,F6 * commission, 0)</f>
        <v>1888.5900000000001</v>
      </c>
    </row>
    <row r="7" spans="1:31">
      <c r="A7" s="5">
        <v>44197</v>
      </c>
      <c r="B7" s="4" t="s">
        <v>50</v>
      </c>
      <c r="C7" s="4" t="s">
        <v>51</v>
      </c>
      <c r="D7" s="4" t="s">
        <v>52</v>
      </c>
      <c r="E7" s="4" t="s">
        <v>3</v>
      </c>
      <c r="F7" s="6">
        <v>24236</v>
      </c>
      <c r="G7" s="4" t="s">
        <v>27</v>
      </c>
      <c r="H7" s="9">
        <v>15000</v>
      </c>
      <c r="I7" s="8" cm="1">
        <f t="array" ref="I7">IF(F7 &gt;= H7,F7 * commission, 0)</f>
        <v>2423.6</v>
      </c>
    </row>
    <row r="8" spans="1:31">
      <c r="A8" s="5">
        <v>44228</v>
      </c>
      <c r="B8" s="4" t="s">
        <v>47</v>
      </c>
      <c r="C8" s="4" t="s">
        <v>48</v>
      </c>
      <c r="D8" s="4" t="s">
        <v>49</v>
      </c>
      <c r="E8" s="4" t="s">
        <v>3</v>
      </c>
      <c r="F8" s="6">
        <v>3596</v>
      </c>
      <c r="G8" s="4" t="s">
        <v>22</v>
      </c>
      <c r="H8" s="9">
        <v>15000</v>
      </c>
      <c r="I8" s="8" cm="1">
        <f t="array" ref="I8">IF(F8 &gt;= H8,F8 * commission, 0)</f>
        <v>0</v>
      </c>
    </row>
    <row r="9" spans="1:31">
      <c r="A9" s="5">
        <v>44228</v>
      </c>
      <c r="B9" s="4" t="s">
        <v>71</v>
      </c>
      <c r="C9" s="4" t="s">
        <v>72</v>
      </c>
      <c r="D9" s="4" t="s">
        <v>73</v>
      </c>
      <c r="E9" s="4" t="s">
        <v>3</v>
      </c>
      <c r="F9" s="6">
        <v>6300</v>
      </c>
      <c r="G9" s="4" t="s">
        <v>28</v>
      </c>
      <c r="H9" s="9">
        <v>15000</v>
      </c>
      <c r="I9" s="8" cm="1">
        <f t="array" ref="I9">IF(F9 &gt;= H9,F9 * commission, 0)</f>
        <v>0</v>
      </c>
    </row>
    <row r="10" spans="1:31">
      <c r="A10" s="5">
        <v>44228</v>
      </c>
      <c r="B10" s="4" t="s">
        <v>47</v>
      </c>
      <c r="C10" s="4" t="s">
        <v>48</v>
      </c>
      <c r="D10" s="4" t="s">
        <v>49</v>
      </c>
      <c r="E10" s="4" t="s">
        <v>3</v>
      </c>
      <c r="F10" s="6">
        <v>6804</v>
      </c>
      <c r="G10" s="4" t="s">
        <v>27</v>
      </c>
      <c r="H10" s="9">
        <v>15000</v>
      </c>
      <c r="I10" s="8" cm="1">
        <f t="array" ref="I10">IF(F10 &gt;= H10,F10 * commission, 0)</f>
        <v>0</v>
      </c>
    </row>
    <row r="11" spans="1:31">
      <c r="A11" s="5">
        <v>44228</v>
      </c>
      <c r="B11" s="4" t="s">
        <v>44</v>
      </c>
      <c r="C11" s="4" t="s">
        <v>45</v>
      </c>
      <c r="D11" s="4" t="s">
        <v>46</v>
      </c>
      <c r="E11" s="4" t="s">
        <v>3</v>
      </c>
      <c r="F11" s="6">
        <v>8524.4000000000015</v>
      </c>
      <c r="G11" s="4" t="s">
        <v>28</v>
      </c>
      <c r="H11" s="9">
        <v>15000</v>
      </c>
      <c r="I11" s="8" cm="1">
        <f t="array" ref="I11">IF(F11 &gt;= H11,F11 * commission, 0)</f>
        <v>0</v>
      </c>
    </row>
    <row r="12" spans="1:31">
      <c r="A12" s="5">
        <v>44228</v>
      </c>
      <c r="B12" s="4" t="s">
        <v>47</v>
      </c>
      <c r="C12" s="4" t="s">
        <v>48</v>
      </c>
      <c r="D12" s="4" t="s">
        <v>49</v>
      </c>
      <c r="E12" s="4" t="s">
        <v>3</v>
      </c>
      <c r="F12" s="6">
        <v>8772</v>
      </c>
      <c r="G12" s="4" t="s">
        <v>28</v>
      </c>
      <c r="H12" s="9">
        <v>15000</v>
      </c>
      <c r="I12" s="8" cm="1">
        <f t="array" ref="I12">IF(F12 &gt;= H12,F12 * commission, 0)</f>
        <v>0</v>
      </c>
    </row>
    <row r="13" spans="1:31">
      <c r="A13" s="5">
        <v>44228</v>
      </c>
      <c r="B13" s="4" t="s">
        <v>47</v>
      </c>
      <c r="C13" s="4" t="s">
        <v>48</v>
      </c>
      <c r="D13" s="4" t="s">
        <v>49</v>
      </c>
      <c r="E13" s="4" t="s">
        <v>3</v>
      </c>
      <c r="F13" s="6">
        <v>17328.300000000003</v>
      </c>
      <c r="G13" s="4" t="s">
        <v>28</v>
      </c>
      <c r="H13" s="9">
        <v>15000</v>
      </c>
      <c r="I13" s="8" cm="1">
        <f t="array" ref="I13">IF(F13 &gt;= H13,F13 * commission, 0)</f>
        <v>1732.8300000000004</v>
      </c>
    </row>
    <row r="14" spans="1:31">
      <c r="A14" s="5">
        <v>44228</v>
      </c>
      <c r="B14" s="4" t="s">
        <v>71</v>
      </c>
      <c r="C14" s="4" t="s">
        <v>72</v>
      </c>
      <c r="D14" s="4" t="s">
        <v>73</v>
      </c>
      <c r="E14" s="4" t="s">
        <v>3</v>
      </c>
      <c r="F14" s="6">
        <v>21438.899999999998</v>
      </c>
      <c r="G14" s="4" t="s">
        <v>27</v>
      </c>
      <c r="H14" s="9">
        <v>15000</v>
      </c>
      <c r="I14" s="8" cm="1">
        <f t="array" ref="I14">IF(F14 &gt;= H14,F14 * commission, 0)</f>
        <v>2143.89</v>
      </c>
    </row>
    <row r="15" spans="1:31">
      <c r="A15" s="5">
        <v>44228</v>
      </c>
      <c r="B15" s="4" t="s">
        <v>44</v>
      </c>
      <c r="C15" s="4" t="s">
        <v>45</v>
      </c>
      <c r="D15" s="4" t="s">
        <v>46</v>
      </c>
      <c r="E15" s="4" t="s">
        <v>3</v>
      </c>
      <c r="F15" s="6">
        <v>26556.799999999999</v>
      </c>
      <c r="G15" s="4" t="s">
        <v>22</v>
      </c>
      <c r="H15" s="9">
        <v>15000</v>
      </c>
      <c r="I15" s="8" cm="1">
        <f t="array" ref="I15">IF(F15 &gt;= H15,F15 * commission, 0)</f>
        <v>2655.6800000000003</v>
      </c>
    </row>
    <row r="16" spans="1:31">
      <c r="A16" s="5">
        <v>44228</v>
      </c>
      <c r="B16" s="4" t="s">
        <v>44</v>
      </c>
      <c r="C16" s="4" t="s">
        <v>45</v>
      </c>
      <c r="D16" s="4" t="s">
        <v>46</v>
      </c>
      <c r="E16" s="4" t="s">
        <v>3</v>
      </c>
      <c r="F16" s="6">
        <v>33132.600000000006</v>
      </c>
      <c r="G16" s="4" t="s">
        <v>28</v>
      </c>
      <c r="H16" s="9">
        <v>15000</v>
      </c>
      <c r="I16" s="8" cm="1">
        <f t="array" ref="I16">IF(F16 &gt;= H16,F16 * commission, 0)</f>
        <v>3313.2600000000007</v>
      </c>
    </row>
    <row r="17" spans="1:9">
      <c r="A17" s="5">
        <v>44256</v>
      </c>
      <c r="B17" s="4" t="s">
        <v>47</v>
      </c>
      <c r="C17" s="4" t="s">
        <v>48</v>
      </c>
      <c r="D17" s="4" t="s">
        <v>49</v>
      </c>
      <c r="E17" s="4" t="s">
        <v>3</v>
      </c>
      <c r="F17" s="6">
        <v>6544.8</v>
      </c>
      <c r="G17" s="4" t="s">
        <v>27</v>
      </c>
      <c r="H17" s="9">
        <v>15000</v>
      </c>
      <c r="I17" s="8" cm="1">
        <f t="array" ref="I17">IF(F17 &gt;= H17,F17 * commission, 0)</f>
        <v>0</v>
      </c>
    </row>
    <row r="18" spans="1:9">
      <c r="A18" s="5">
        <v>44256</v>
      </c>
      <c r="B18" s="4" t="s">
        <v>44</v>
      </c>
      <c r="C18" s="4" t="s">
        <v>45</v>
      </c>
      <c r="D18" s="4" t="s">
        <v>46</v>
      </c>
      <c r="E18" s="4" t="s">
        <v>3</v>
      </c>
      <c r="F18" s="6">
        <v>11166.300000000001</v>
      </c>
      <c r="G18" s="4" t="s">
        <v>22</v>
      </c>
      <c r="H18" s="9">
        <v>15000</v>
      </c>
      <c r="I18" s="8" cm="1">
        <f t="array" ref="I18">IF(F18 &gt;= H18,F18 * commission, 0)</f>
        <v>0</v>
      </c>
    </row>
    <row r="19" spans="1:9">
      <c r="A19" s="5">
        <v>44256</v>
      </c>
      <c r="B19" s="4" t="s">
        <v>47</v>
      </c>
      <c r="C19" s="4" t="s">
        <v>48</v>
      </c>
      <c r="D19" s="4" t="s">
        <v>49</v>
      </c>
      <c r="E19" s="4" t="s">
        <v>3</v>
      </c>
      <c r="F19" s="6">
        <v>11403</v>
      </c>
      <c r="G19" s="4" t="s">
        <v>22</v>
      </c>
      <c r="H19" s="9">
        <v>15000</v>
      </c>
      <c r="I19" s="8" cm="1">
        <f t="array" ref="I19">IF(F19 &gt;= H19,F19 * commission, 0)</f>
        <v>0</v>
      </c>
    </row>
    <row r="20" spans="1:9">
      <c r="A20" s="5">
        <v>44256</v>
      </c>
      <c r="B20" s="4" t="s">
        <v>47</v>
      </c>
      <c r="C20" s="4" t="s">
        <v>48</v>
      </c>
      <c r="D20" s="4" t="s">
        <v>49</v>
      </c>
      <c r="E20" s="4" t="s">
        <v>3</v>
      </c>
      <c r="F20" s="6">
        <v>11554.400000000001</v>
      </c>
      <c r="G20" s="4" t="s">
        <v>22</v>
      </c>
      <c r="H20" s="9">
        <v>15000</v>
      </c>
      <c r="I20" s="8" cm="1">
        <f t="array" ref="I20">IF(F20 &gt;= H20,F20 * commission, 0)</f>
        <v>0</v>
      </c>
    </row>
    <row r="21" spans="1:9">
      <c r="A21" s="5">
        <v>44256</v>
      </c>
      <c r="B21" s="4" t="s">
        <v>41</v>
      </c>
      <c r="C21" s="4" t="s">
        <v>42</v>
      </c>
      <c r="D21" s="4" t="s">
        <v>43</v>
      </c>
      <c r="E21" s="4" t="s">
        <v>3</v>
      </c>
      <c r="F21" s="6">
        <v>12143.999999999998</v>
      </c>
      <c r="G21" s="4" t="s">
        <v>22</v>
      </c>
      <c r="H21" s="9">
        <v>15000</v>
      </c>
      <c r="I21" s="8" cm="1">
        <f t="array" ref="I21">IF(F21 &gt;= H21,F21 * commission, 0)</f>
        <v>0</v>
      </c>
    </row>
    <row r="22" spans="1:9">
      <c r="A22" s="5">
        <v>44256</v>
      </c>
      <c r="B22" s="4" t="s">
        <v>41</v>
      </c>
      <c r="C22" s="4" t="s">
        <v>42</v>
      </c>
      <c r="D22" s="4" t="s">
        <v>43</v>
      </c>
      <c r="E22" s="4" t="s">
        <v>3</v>
      </c>
      <c r="F22" s="6">
        <v>13244.7</v>
      </c>
      <c r="G22" s="4" t="s">
        <v>27</v>
      </c>
      <c r="H22" s="9">
        <v>15000</v>
      </c>
      <c r="I22" s="8" cm="1">
        <f t="array" ref="I22">IF(F22 &gt;= H22,F22 * commission, 0)</f>
        <v>0</v>
      </c>
    </row>
    <row r="23" spans="1:9">
      <c r="A23" s="5">
        <v>44256</v>
      </c>
      <c r="B23" s="4" t="s">
        <v>50</v>
      </c>
      <c r="C23" s="4" t="s">
        <v>51</v>
      </c>
      <c r="D23" s="4" t="s">
        <v>52</v>
      </c>
      <c r="E23" s="4" t="s">
        <v>3</v>
      </c>
      <c r="F23" s="6">
        <v>23014.400000000001</v>
      </c>
      <c r="G23" s="4" t="s">
        <v>27</v>
      </c>
      <c r="H23" s="9">
        <v>15000</v>
      </c>
      <c r="I23" s="8" cm="1">
        <f t="array" ref="I23">IF(F23 &gt;= H23,F23 * commission, 0)</f>
        <v>2301.44</v>
      </c>
    </row>
    <row r="24" spans="1:9">
      <c r="A24" s="5">
        <v>44256</v>
      </c>
      <c r="B24" s="4" t="s">
        <v>41</v>
      </c>
      <c r="C24" s="4" t="s">
        <v>42</v>
      </c>
      <c r="D24" s="4" t="s">
        <v>43</v>
      </c>
      <c r="E24" s="4" t="s">
        <v>3</v>
      </c>
      <c r="F24" s="6">
        <v>26200</v>
      </c>
      <c r="G24" s="4" t="s">
        <v>22</v>
      </c>
      <c r="H24" s="9">
        <v>15000</v>
      </c>
      <c r="I24" s="8" cm="1">
        <f t="array" ref="I24">IF(F24 &gt;= H24,F24 * commission, 0)</f>
        <v>2620</v>
      </c>
    </row>
    <row r="25" spans="1:9">
      <c r="A25" s="5">
        <v>44256</v>
      </c>
      <c r="B25" s="4" t="s">
        <v>44</v>
      </c>
      <c r="C25" s="4" t="s">
        <v>45</v>
      </c>
      <c r="D25" s="4" t="s">
        <v>46</v>
      </c>
      <c r="E25" s="4" t="s">
        <v>3</v>
      </c>
      <c r="F25" s="6">
        <v>28286.399999999998</v>
      </c>
      <c r="G25" s="4" t="s">
        <v>27</v>
      </c>
      <c r="H25" s="9">
        <v>15000</v>
      </c>
      <c r="I25" s="8" cm="1">
        <f t="array" ref="I25">IF(F25 &gt;= H25,F25 * commission, 0)</f>
        <v>2828.64</v>
      </c>
    </row>
    <row r="26" spans="1:9">
      <c r="A26" s="5">
        <v>44256</v>
      </c>
      <c r="B26" s="4" t="s">
        <v>41</v>
      </c>
      <c r="C26" s="4" t="s">
        <v>42</v>
      </c>
      <c r="D26" s="4" t="s">
        <v>43</v>
      </c>
      <c r="E26" s="4" t="s">
        <v>3</v>
      </c>
      <c r="F26" s="6">
        <v>35715.4</v>
      </c>
      <c r="G26" s="4" t="s">
        <v>22</v>
      </c>
      <c r="H26" s="9">
        <v>15000</v>
      </c>
      <c r="I26" s="8" cm="1">
        <f t="array" ref="I26">IF(F26 &gt;= H26,F26 * commission, 0)</f>
        <v>3571.5400000000004</v>
      </c>
    </row>
    <row r="27" spans="1:9">
      <c r="A27" s="5">
        <v>44287</v>
      </c>
      <c r="B27" s="4" t="s">
        <v>71</v>
      </c>
      <c r="C27" s="4" t="s">
        <v>72</v>
      </c>
      <c r="D27" s="4" t="s">
        <v>73</v>
      </c>
      <c r="E27" s="4" t="s">
        <v>3</v>
      </c>
      <c r="F27" s="6">
        <v>6960</v>
      </c>
      <c r="G27" s="4" t="s">
        <v>28</v>
      </c>
      <c r="H27" s="9">
        <v>15000</v>
      </c>
      <c r="I27" s="8" cm="1">
        <f t="array" ref="I27">IF(F27 &gt;= H27,F27 * commission, 0)</f>
        <v>0</v>
      </c>
    </row>
    <row r="28" spans="1:9">
      <c r="A28" s="5">
        <v>44287</v>
      </c>
      <c r="B28" s="4" t="s">
        <v>50</v>
      </c>
      <c r="C28" s="4" t="s">
        <v>51</v>
      </c>
      <c r="D28" s="4" t="s">
        <v>52</v>
      </c>
      <c r="E28" s="4" t="s">
        <v>3</v>
      </c>
      <c r="F28" s="6">
        <v>9627.8999999999978</v>
      </c>
      <c r="G28" s="4" t="s">
        <v>27</v>
      </c>
      <c r="H28" s="9">
        <v>15000</v>
      </c>
      <c r="I28" s="8" cm="1">
        <f t="array" ref="I28">IF(F28 &gt;= H28,F28 * commission, 0)</f>
        <v>0</v>
      </c>
    </row>
    <row r="29" spans="1:9">
      <c r="A29" s="5">
        <v>44287</v>
      </c>
      <c r="B29" s="4" t="s">
        <v>47</v>
      </c>
      <c r="C29" s="4" t="s">
        <v>48</v>
      </c>
      <c r="D29" s="4" t="s">
        <v>49</v>
      </c>
      <c r="E29" s="4" t="s">
        <v>3</v>
      </c>
      <c r="F29" s="6">
        <v>13725.600000000002</v>
      </c>
      <c r="G29" s="4" t="s">
        <v>28</v>
      </c>
      <c r="H29" s="9">
        <v>15000</v>
      </c>
      <c r="I29" s="8" cm="1">
        <f t="array" ref="I29">IF(F29 &gt;= H29,F29 * commission, 0)</f>
        <v>0</v>
      </c>
    </row>
    <row r="30" spans="1:9">
      <c r="A30" s="5">
        <v>44287</v>
      </c>
      <c r="B30" s="4" t="s">
        <v>50</v>
      </c>
      <c r="C30" s="4" t="s">
        <v>51</v>
      </c>
      <c r="D30" s="4" t="s">
        <v>52</v>
      </c>
      <c r="E30" s="4" t="s">
        <v>3</v>
      </c>
      <c r="F30" s="6">
        <v>15353.2</v>
      </c>
      <c r="G30" s="4" t="s">
        <v>27</v>
      </c>
      <c r="H30" s="9">
        <v>15000</v>
      </c>
      <c r="I30" s="8" cm="1">
        <f t="array" ref="I30">IF(F30 &gt;= H30,F30 * commission, 0)</f>
        <v>1535.3200000000002</v>
      </c>
    </row>
    <row r="31" spans="1:9">
      <c r="A31" s="5">
        <v>44287</v>
      </c>
      <c r="B31" s="4" t="s">
        <v>41</v>
      </c>
      <c r="C31" s="4" t="s">
        <v>42</v>
      </c>
      <c r="D31" s="4" t="s">
        <v>43</v>
      </c>
      <c r="E31" s="4" t="s">
        <v>3</v>
      </c>
      <c r="F31" s="6">
        <v>18994.5</v>
      </c>
      <c r="G31" s="4" t="s">
        <v>22</v>
      </c>
      <c r="H31" s="9">
        <v>15000</v>
      </c>
      <c r="I31" s="8" cm="1">
        <f t="array" ref="I31">IF(F31 &gt;= H31,F31 * commission, 0)</f>
        <v>1899.45</v>
      </c>
    </row>
    <row r="32" spans="1:9">
      <c r="A32" s="5">
        <v>44287</v>
      </c>
      <c r="B32" s="4" t="s">
        <v>41</v>
      </c>
      <c r="C32" s="4" t="s">
        <v>42</v>
      </c>
      <c r="D32" s="4" t="s">
        <v>43</v>
      </c>
      <c r="E32" s="4" t="s">
        <v>3</v>
      </c>
      <c r="F32" s="6">
        <v>28628.799999999996</v>
      </c>
      <c r="G32" s="4" t="s">
        <v>28</v>
      </c>
      <c r="H32" s="9">
        <v>15000</v>
      </c>
      <c r="I32" s="8" cm="1">
        <f t="array" ref="I32">IF(F32 &gt;= H32,F32 * commission, 0)</f>
        <v>2862.8799999999997</v>
      </c>
    </row>
    <row r="33" spans="1:9">
      <c r="A33" s="5">
        <v>44317</v>
      </c>
      <c r="B33" s="4" t="s">
        <v>71</v>
      </c>
      <c r="C33" s="4" t="s">
        <v>72</v>
      </c>
      <c r="D33" s="4" t="s">
        <v>73</v>
      </c>
      <c r="E33" s="4" t="s">
        <v>3</v>
      </c>
      <c r="F33" s="6">
        <v>10948</v>
      </c>
      <c r="G33" s="4" t="s">
        <v>27</v>
      </c>
      <c r="H33" s="9">
        <v>15000</v>
      </c>
      <c r="I33" s="8" cm="1">
        <f t="array" ref="I33">IF(F33 &gt;= H33,F33 * commission, 0)</f>
        <v>0</v>
      </c>
    </row>
    <row r="34" spans="1:9">
      <c r="A34" s="5">
        <v>44317</v>
      </c>
      <c r="B34" s="4" t="s">
        <v>44</v>
      </c>
      <c r="C34" s="4" t="s">
        <v>45</v>
      </c>
      <c r="D34" s="4" t="s">
        <v>46</v>
      </c>
      <c r="E34" s="4" t="s">
        <v>3</v>
      </c>
      <c r="F34" s="6">
        <v>13044.899999999998</v>
      </c>
      <c r="G34" s="4" t="s">
        <v>27</v>
      </c>
      <c r="H34" s="9">
        <v>15000</v>
      </c>
      <c r="I34" s="8" cm="1">
        <f t="array" ref="I34">IF(F34 &gt;= H34,F34 * commission, 0)</f>
        <v>0</v>
      </c>
    </row>
    <row r="35" spans="1:9">
      <c r="A35" s="5">
        <v>44317</v>
      </c>
      <c r="B35" s="4" t="s">
        <v>50</v>
      </c>
      <c r="C35" s="4" t="s">
        <v>51</v>
      </c>
      <c r="D35" s="4" t="s">
        <v>52</v>
      </c>
      <c r="E35" s="4" t="s">
        <v>3</v>
      </c>
      <c r="F35" s="6">
        <v>28616</v>
      </c>
      <c r="G35" s="4" t="s">
        <v>28</v>
      </c>
      <c r="H35" s="9">
        <v>15000</v>
      </c>
      <c r="I35" s="8" cm="1">
        <f t="array" ref="I35">IF(F35 &gt;= H35,F35 * commission, 0)</f>
        <v>2861.6000000000004</v>
      </c>
    </row>
    <row r="36" spans="1:9">
      <c r="A36" s="5">
        <v>44317</v>
      </c>
      <c r="B36" s="4" t="s">
        <v>47</v>
      </c>
      <c r="C36" s="4" t="s">
        <v>48</v>
      </c>
      <c r="D36" s="4" t="s">
        <v>49</v>
      </c>
      <c r="E36" s="4" t="s">
        <v>3</v>
      </c>
      <c r="F36" s="6">
        <v>30377.399999999998</v>
      </c>
      <c r="G36" s="4" t="s">
        <v>28</v>
      </c>
      <c r="H36" s="9">
        <v>15000</v>
      </c>
      <c r="I36" s="8" cm="1">
        <f t="array" ref="I36">IF(F36 &gt;= H36,F36 * commission, 0)</f>
        <v>3037.74</v>
      </c>
    </row>
    <row r="37" spans="1:9">
      <c r="A37" s="5">
        <v>44317</v>
      </c>
      <c r="B37" s="4" t="s">
        <v>50</v>
      </c>
      <c r="C37" s="4" t="s">
        <v>51</v>
      </c>
      <c r="D37" s="4" t="s">
        <v>52</v>
      </c>
      <c r="E37" s="4" t="s">
        <v>3</v>
      </c>
      <c r="F37" s="6">
        <v>35351</v>
      </c>
      <c r="G37" s="4" t="s">
        <v>22</v>
      </c>
      <c r="H37" s="9">
        <v>15000</v>
      </c>
      <c r="I37" s="8" cm="1">
        <f t="array" ref="I37">IF(F37 &gt;= H37,F37 * commission, 0)</f>
        <v>3535.1000000000004</v>
      </c>
    </row>
    <row r="38" spans="1:9">
      <c r="A38" s="5">
        <v>44348</v>
      </c>
      <c r="B38" s="4" t="s">
        <v>50</v>
      </c>
      <c r="C38" s="4" t="s">
        <v>51</v>
      </c>
      <c r="D38" s="4" t="s">
        <v>52</v>
      </c>
      <c r="E38" s="4" t="s">
        <v>3</v>
      </c>
      <c r="F38" s="6">
        <v>6872.7999999999993</v>
      </c>
      <c r="G38" s="4" t="s">
        <v>27</v>
      </c>
      <c r="H38" s="9">
        <v>15000</v>
      </c>
      <c r="I38" s="8" cm="1">
        <f t="array" ref="I38">IF(F38 &gt;= H38,F38 * commission, 0)</f>
        <v>0</v>
      </c>
    </row>
    <row r="39" spans="1:9">
      <c r="A39" s="5">
        <v>44348</v>
      </c>
      <c r="B39" s="4" t="s">
        <v>47</v>
      </c>
      <c r="C39" s="4" t="s">
        <v>48</v>
      </c>
      <c r="D39" s="4" t="s">
        <v>49</v>
      </c>
      <c r="E39" s="4" t="s">
        <v>3</v>
      </c>
      <c r="F39" s="6">
        <v>8827</v>
      </c>
      <c r="G39" s="4" t="s">
        <v>28</v>
      </c>
      <c r="H39" s="9">
        <v>15000</v>
      </c>
      <c r="I39" s="8" cm="1">
        <f t="array" ref="I39">IF(F39 &gt;= H39,F39 * commission, 0)</f>
        <v>0</v>
      </c>
    </row>
    <row r="40" spans="1:9">
      <c r="A40" s="5">
        <v>44348</v>
      </c>
      <c r="B40" s="4" t="s">
        <v>71</v>
      </c>
      <c r="C40" s="4" t="s">
        <v>72</v>
      </c>
      <c r="D40" s="4" t="s">
        <v>73</v>
      </c>
      <c r="E40" s="4" t="s">
        <v>3</v>
      </c>
      <c r="F40" s="6">
        <v>9836.8000000000011</v>
      </c>
      <c r="G40" s="4" t="s">
        <v>27</v>
      </c>
      <c r="H40" s="9">
        <v>15000</v>
      </c>
      <c r="I40" s="8" cm="1">
        <f t="array" ref="I40">IF(F40 &gt;= H40,F40 * commission, 0)</f>
        <v>0</v>
      </c>
    </row>
    <row r="41" spans="1:9">
      <c r="A41" s="5">
        <v>44348</v>
      </c>
      <c r="B41" s="4" t="s">
        <v>47</v>
      </c>
      <c r="C41" s="4" t="s">
        <v>48</v>
      </c>
      <c r="D41" s="4" t="s">
        <v>49</v>
      </c>
      <c r="E41" s="4" t="s">
        <v>3</v>
      </c>
      <c r="F41" s="6">
        <v>10032</v>
      </c>
      <c r="G41" s="4" t="s">
        <v>27</v>
      </c>
      <c r="H41" s="9">
        <v>15000</v>
      </c>
      <c r="I41" s="8" cm="1">
        <f t="array" ref="I41">IF(F41 &gt;= H41,F41 * commission, 0)</f>
        <v>0</v>
      </c>
    </row>
    <row r="42" spans="1:9">
      <c r="A42" s="5">
        <v>44348</v>
      </c>
      <c r="B42" s="4" t="s">
        <v>47</v>
      </c>
      <c r="C42" s="4" t="s">
        <v>48</v>
      </c>
      <c r="D42" s="4" t="s">
        <v>49</v>
      </c>
      <c r="E42" s="4" t="s">
        <v>3</v>
      </c>
      <c r="F42" s="6">
        <v>15953.599999999999</v>
      </c>
      <c r="G42" s="4" t="s">
        <v>22</v>
      </c>
      <c r="H42" s="9">
        <v>15000</v>
      </c>
      <c r="I42" s="8" cm="1">
        <f t="array" ref="I42">IF(F42 &gt;= H42,F42 * commission, 0)</f>
        <v>1595.36</v>
      </c>
    </row>
    <row r="43" spans="1:9">
      <c r="A43" s="5">
        <v>44348</v>
      </c>
      <c r="B43" s="4" t="s">
        <v>50</v>
      </c>
      <c r="C43" s="4" t="s">
        <v>51</v>
      </c>
      <c r="D43" s="4" t="s">
        <v>52</v>
      </c>
      <c r="E43" s="4" t="s">
        <v>3</v>
      </c>
      <c r="F43" s="6">
        <v>25560</v>
      </c>
      <c r="G43" s="4" t="s">
        <v>27</v>
      </c>
      <c r="H43" s="9">
        <v>15000</v>
      </c>
      <c r="I43" s="8" cm="1">
        <f t="array" ref="I43">IF(F43 &gt;= H43,F43 * commission, 0)</f>
        <v>2556</v>
      </c>
    </row>
    <row r="44" spans="1:9">
      <c r="A44" s="5">
        <v>44348</v>
      </c>
      <c r="B44" s="4" t="s">
        <v>47</v>
      </c>
      <c r="C44" s="4" t="s">
        <v>48</v>
      </c>
      <c r="D44" s="4" t="s">
        <v>49</v>
      </c>
      <c r="E44" s="4" t="s">
        <v>3</v>
      </c>
      <c r="F44" s="6">
        <v>35695</v>
      </c>
      <c r="G44" s="4" t="s">
        <v>22</v>
      </c>
      <c r="H44" s="9">
        <v>15000</v>
      </c>
      <c r="I44" s="8" cm="1">
        <f t="array" ref="I44">IF(F44 &gt;= H44,F44 * commission, 0)</f>
        <v>3569.5</v>
      </c>
    </row>
    <row r="45" spans="1:9">
      <c r="A45" s="5">
        <v>44378</v>
      </c>
      <c r="B45" s="4" t="s">
        <v>71</v>
      </c>
      <c r="C45" s="4" t="s">
        <v>72</v>
      </c>
      <c r="D45" s="4" t="s">
        <v>73</v>
      </c>
      <c r="E45" s="4" t="s">
        <v>3</v>
      </c>
      <c r="F45" s="6">
        <v>9405.2999999999993</v>
      </c>
      <c r="G45" s="4" t="s">
        <v>22</v>
      </c>
      <c r="H45" s="9">
        <v>15000</v>
      </c>
      <c r="I45" s="8" cm="1">
        <f t="array" ref="I45">IF(F45 &gt;= H45,F45 * commission, 0)</f>
        <v>0</v>
      </c>
    </row>
    <row r="46" spans="1:9">
      <c r="A46" s="5">
        <v>44378</v>
      </c>
      <c r="B46" s="4" t="s">
        <v>50</v>
      </c>
      <c r="C46" s="4" t="s">
        <v>51</v>
      </c>
      <c r="D46" s="4" t="s">
        <v>52</v>
      </c>
      <c r="E46" s="4" t="s">
        <v>3</v>
      </c>
      <c r="F46" s="6">
        <v>9704.1999999999989</v>
      </c>
      <c r="G46" s="4" t="s">
        <v>28</v>
      </c>
      <c r="H46" s="9">
        <v>15000</v>
      </c>
      <c r="I46" s="8" cm="1">
        <f t="array" ref="I46">IF(F46 &gt;= H46,F46 * commission, 0)</f>
        <v>0</v>
      </c>
    </row>
    <row r="47" spans="1:9">
      <c r="A47" s="5">
        <v>44378</v>
      </c>
      <c r="B47" s="4" t="s">
        <v>71</v>
      </c>
      <c r="C47" s="4" t="s">
        <v>72</v>
      </c>
      <c r="D47" s="4" t="s">
        <v>73</v>
      </c>
      <c r="E47" s="4" t="s">
        <v>3</v>
      </c>
      <c r="F47" s="6">
        <v>13674</v>
      </c>
      <c r="G47" s="4" t="s">
        <v>22</v>
      </c>
      <c r="H47" s="9">
        <v>15000</v>
      </c>
      <c r="I47" s="8" cm="1">
        <f t="array" ref="I47">IF(F47 &gt;= H47,F47 * commission, 0)</f>
        <v>0</v>
      </c>
    </row>
    <row r="48" spans="1:9">
      <c r="A48" s="5">
        <v>44378</v>
      </c>
      <c r="B48" s="4" t="s">
        <v>47</v>
      </c>
      <c r="C48" s="4" t="s">
        <v>48</v>
      </c>
      <c r="D48" s="4" t="s">
        <v>49</v>
      </c>
      <c r="E48" s="4" t="s">
        <v>3</v>
      </c>
      <c r="F48" s="6">
        <v>21120.400000000001</v>
      </c>
      <c r="G48" s="4" t="s">
        <v>22</v>
      </c>
      <c r="H48" s="9">
        <v>15000</v>
      </c>
      <c r="I48" s="8" cm="1">
        <f t="array" ref="I48">IF(F48 &gt;= H48,F48 * commission, 0)</f>
        <v>2112.0400000000004</v>
      </c>
    </row>
    <row r="49" spans="1:9">
      <c r="A49" s="5">
        <v>44378</v>
      </c>
      <c r="B49" s="4" t="s">
        <v>47</v>
      </c>
      <c r="C49" s="4" t="s">
        <v>48</v>
      </c>
      <c r="D49" s="4" t="s">
        <v>49</v>
      </c>
      <c r="E49" s="4" t="s">
        <v>3</v>
      </c>
      <c r="F49" s="6">
        <v>23997.600000000002</v>
      </c>
      <c r="G49" s="4" t="s">
        <v>27</v>
      </c>
      <c r="H49" s="9">
        <v>15000</v>
      </c>
      <c r="I49" s="8" cm="1">
        <f t="array" ref="I49">IF(F49 &gt;= H49,F49 * commission, 0)</f>
        <v>2399.7600000000002</v>
      </c>
    </row>
    <row r="50" spans="1:9">
      <c r="A50" s="5">
        <v>44378</v>
      </c>
      <c r="B50" s="4" t="s">
        <v>47</v>
      </c>
      <c r="C50" s="4" t="s">
        <v>48</v>
      </c>
      <c r="D50" s="4" t="s">
        <v>49</v>
      </c>
      <c r="E50" s="4" t="s">
        <v>3</v>
      </c>
      <c r="F50" s="6">
        <v>35715.4</v>
      </c>
      <c r="G50" s="4" t="s">
        <v>28</v>
      </c>
      <c r="H50" s="9">
        <v>15000</v>
      </c>
      <c r="I50" s="8" cm="1">
        <f t="array" ref="I50">IF(F50 &gt;= H50,F50 * commission, 0)</f>
        <v>3571.5400000000004</v>
      </c>
    </row>
    <row r="51" spans="1:9">
      <c r="A51" s="5">
        <v>44409</v>
      </c>
      <c r="B51" s="4" t="s">
        <v>47</v>
      </c>
      <c r="C51" s="4" t="s">
        <v>48</v>
      </c>
      <c r="D51" s="4" t="s">
        <v>49</v>
      </c>
      <c r="E51" s="4" t="s">
        <v>3</v>
      </c>
      <c r="F51" s="6">
        <v>3386.6000000000004</v>
      </c>
      <c r="G51" s="4" t="s">
        <v>22</v>
      </c>
      <c r="H51" s="9">
        <v>15000</v>
      </c>
      <c r="I51" s="8" cm="1">
        <f t="array" ref="I51">IF(F51 &gt;= H51,F51 * commission, 0)</f>
        <v>0</v>
      </c>
    </row>
    <row r="52" spans="1:9">
      <c r="A52" s="5">
        <v>44409</v>
      </c>
      <c r="B52" s="4" t="s">
        <v>50</v>
      </c>
      <c r="C52" s="4" t="s">
        <v>51</v>
      </c>
      <c r="D52" s="4" t="s">
        <v>52</v>
      </c>
      <c r="E52" s="4" t="s">
        <v>3</v>
      </c>
      <c r="F52" s="6">
        <v>4028</v>
      </c>
      <c r="G52" s="4" t="s">
        <v>27</v>
      </c>
      <c r="H52" s="9">
        <v>15000</v>
      </c>
      <c r="I52" s="8" cm="1">
        <f t="array" ref="I52">IF(F52 &gt;= H52,F52 * commission, 0)</f>
        <v>0</v>
      </c>
    </row>
    <row r="53" spans="1:9">
      <c r="A53" s="5">
        <v>44409</v>
      </c>
      <c r="B53" s="4" t="s">
        <v>41</v>
      </c>
      <c r="C53" s="4" t="s">
        <v>42</v>
      </c>
      <c r="D53" s="4" t="s">
        <v>43</v>
      </c>
      <c r="E53" s="4" t="s">
        <v>3</v>
      </c>
      <c r="F53" s="6">
        <v>5532.7999999999993</v>
      </c>
      <c r="G53" s="4" t="s">
        <v>22</v>
      </c>
      <c r="H53" s="9">
        <v>15000</v>
      </c>
      <c r="I53" s="8" cm="1">
        <f t="array" ref="I53">IF(F53 &gt;= H53,F53 * commission, 0)</f>
        <v>0</v>
      </c>
    </row>
    <row r="54" spans="1:9">
      <c r="A54" s="5">
        <v>44409</v>
      </c>
      <c r="B54" s="4" t="s">
        <v>47</v>
      </c>
      <c r="C54" s="4" t="s">
        <v>48</v>
      </c>
      <c r="D54" s="4" t="s">
        <v>49</v>
      </c>
      <c r="E54" s="4" t="s">
        <v>3</v>
      </c>
      <c r="F54" s="6">
        <v>10200</v>
      </c>
      <c r="G54" s="4" t="s">
        <v>28</v>
      </c>
      <c r="H54" s="9">
        <v>15000</v>
      </c>
      <c r="I54" s="8" cm="1">
        <f t="array" ref="I54">IF(F54 &gt;= H54,F54 * commission, 0)</f>
        <v>0</v>
      </c>
    </row>
    <row r="55" spans="1:9">
      <c r="A55" s="5">
        <v>44409</v>
      </c>
      <c r="B55" s="4" t="s">
        <v>41</v>
      </c>
      <c r="C55" s="4" t="s">
        <v>42</v>
      </c>
      <c r="D55" s="4" t="s">
        <v>43</v>
      </c>
      <c r="E55" s="4" t="s">
        <v>3</v>
      </c>
      <c r="F55" s="6">
        <v>13923</v>
      </c>
      <c r="G55" s="4" t="s">
        <v>28</v>
      </c>
      <c r="H55" s="9">
        <v>15000</v>
      </c>
      <c r="I55" s="8" cm="1">
        <f t="array" ref="I55">IF(F55 &gt;= H55,F55 * commission, 0)</f>
        <v>0</v>
      </c>
    </row>
    <row r="56" spans="1:9">
      <c r="A56" s="5">
        <v>44409</v>
      </c>
      <c r="B56" s="4" t="s">
        <v>50</v>
      </c>
      <c r="C56" s="4" t="s">
        <v>51</v>
      </c>
      <c r="D56" s="4" t="s">
        <v>52</v>
      </c>
      <c r="E56" s="4" t="s">
        <v>3</v>
      </c>
      <c r="F56" s="6">
        <v>17593.399999999998</v>
      </c>
      <c r="G56" s="4" t="s">
        <v>22</v>
      </c>
      <c r="H56" s="9">
        <v>15000</v>
      </c>
      <c r="I56" s="8" cm="1">
        <f t="array" ref="I56">IF(F56 &gt;= H56,F56 * commission, 0)</f>
        <v>1759.34</v>
      </c>
    </row>
    <row r="57" spans="1:9">
      <c r="A57" s="5">
        <v>44409</v>
      </c>
      <c r="B57" s="4" t="s">
        <v>71</v>
      </c>
      <c r="C57" s="4" t="s">
        <v>72</v>
      </c>
      <c r="D57" s="4" t="s">
        <v>73</v>
      </c>
      <c r="E57" s="4" t="s">
        <v>3</v>
      </c>
      <c r="F57" s="6">
        <v>17666</v>
      </c>
      <c r="G57" s="4" t="s">
        <v>27</v>
      </c>
      <c r="H57" s="9">
        <v>15000</v>
      </c>
      <c r="I57" s="8" cm="1">
        <f t="array" ref="I57">IF(F57 &gt;= H57,F57 * commission, 0)</f>
        <v>1766.6000000000001</v>
      </c>
    </row>
    <row r="58" spans="1:9">
      <c r="A58" s="5">
        <v>44409</v>
      </c>
      <c r="B58" s="4" t="s">
        <v>47</v>
      </c>
      <c r="C58" s="4" t="s">
        <v>48</v>
      </c>
      <c r="D58" s="4" t="s">
        <v>49</v>
      </c>
      <c r="E58" s="4" t="s">
        <v>3</v>
      </c>
      <c r="F58" s="6">
        <v>21420</v>
      </c>
      <c r="G58" s="4" t="s">
        <v>28</v>
      </c>
      <c r="H58" s="9">
        <v>15000</v>
      </c>
      <c r="I58" s="8" cm="1">
        <f t="array" ref="I58">IF(F58 &gt;= H58,F58 * commission, 0)</f>
        <v>2142</v>
      </c>
    </row>
    <row r="59" spans="1:9">
      <c r="A59" s="5">
        <v>44409</v>
      </c>
      <c r="B59" s="4" t="s">
        <v>41</v>
      </c>
      <c r="C59" s="4" t="s">
        <v>42</v>
      </c>
      <c r="D59" s="4" t="s">
        <v>43</v>
      </c>
      <c r="E59" s="4" t="s">
        <v>3</v>
      </c>
      <c r="F59" s="6">
        <v>24080</v>
      </c>
      <c r="G59" s="4" t="s">
        <v>27</v>
      </c>
      <c r="H59" s="9">
        <v>15000</v>
      </c>
      <c r="I59" s="8" cm="1">
        <f t="array" ref="I59">IF(F59 &gt;= H59,F59 * commission, 0)</f>
        <v>2408</v>
      </c>
    </row>
    <row r="60" spans="1:9">
      <c r="A60" s="5">
        <v>44409</v>
      </c>
      <c r="B60" s="4" t="s">
        <v>50</v>
      </c>
      <c r="C60" s="4" t="s">
        <v>51</v>
      </c>
      <c r="D60" s="4" t="s">
        <v>52</v>
      </c>
      <c r="E60" s="4" t="s">
        <v>3</v>
      </c>
      <c r="F60" s="6">
        <v>27531</v>
      </c>
      <c r="G60" s="4" t="s">
        <v>28</v>
      </c>
      <c r="H60" s="9">
        <v>15000</v>
      </c>
      <c r="I60" s="8" cm="1">
        <f t="array" ref="I60">IF(F60 &gt;= H60,F60 * commission, 0)</f>
        <v>2753.1000000000004</v>
      </c>
    </row>
    <row r="61" spans="1:9">
      <c r="A61" s="5">
        <v>44409</v>
      </c>
      <c r="B61" s="4" t="s">
        <v>71</v>
      </c>
      <c r="C61" s="4" t="s">
        <v>72</v>
      </c>
      <c r="D61" s="4" t="s">
        <v>73</v>
      </c>
      <c r="E61" s="4" t="s">
        <v>3</v>
      </c>
      <c r="F61" s="6">
        <v>32795.700000000004</v>
      </c>
      <c r="G61" s="4" t="s">
        <v>22</v>
      </c>
      <c r="H61" s="9">
        <v>15000</v>
      </c>
      <c r="I61" s="8" cm="1">
        <f t="array" ref="I61">IF(F61 &gt;= H61,F61 * commission, 0)</f>
        <v>3279.5700000000006</v>
      </c>
    </row>
    <row r="62" spans="1:9">
      <c r="A62" s="5">
        <v>44440</v>
      </c>
      <c r="B62" s="4" t="s">
        <v>50</v>
      </c>
      <c r="C62" s="4" t="s">
        <v>51</v>
      </c>
      <c r="D62" s="4" t="s">
        <v>52</v>
      </c>
      <c r="E62" s="4" t="s">
        <v>3</v>
      </c>
      <c r="F62" s="6">
        <v>7008</v>
      </c>
      <c r="G62" s="4" t="s">
        <v>28</v>
      </c>
      <c r="H62" s="9">
        <v>15000</v>
      </c>
      <c r="I62" s="8" cm="1">
        <f t="array" ref="I62">IF(F62 &gt;= H62,F62 * commission, 0)</f>
        <v>0</v>
      </c>
    </row>
    <row r="63" spans="1:9">
      <c r="A63" s="5">
        <v>44440</v>
      </c>
      <c r="B63" s="4" t="s">
        <v>41</v>
      </c>
      <c r="C63" s="4" t="s">
        <v>42</v>
      </c>
      <c r="D63" s="4" t="s">
        <v>43</v>
      </c>
      <c r="E63" s="4" t="s">
        <v>3</v>
      </c>
      <c r="F63" s="6">
        <v>8099.6999999999989</v>
      </c>
      <c r="G63" s="4" t="s">
        <v>27</v>
      </c>
      <c r="H63" s="9">
        <v>15000</v>
      </c>
      <c r="I63" s="8" cm="1">
        <f t="array" ref="I63">IF(F63 &gt;= H63,F63 * commission, 0)</f>
        <v>0</v>
      </c>
    </row>
    <row r="64" spans="1:9">
      <c r="A64" s="5">
        <v>44440</v>
      </c>
      <c r="B64" s="4" t="s">
        <v>47</v>
      </c>
      <c r="C64" s="4" t="s">
        <v>48</v>
      </c>
      <c r="D64" s="4" t="s">
        <v>49</v>
      </c>
      <c r="E64" s="4" t="s">
        <v>3</v>
      </c>
      <c r="F64" s="6">
        <v>9840</v>
      </c>
      <c r="G64" s="4" t="s">
        <v>22</v>
      </c>
      <c r="H64" s="9">
        <v>15000</v>
      </c>
      <c r="I64" s="8" cm="1">
        <f t="array" ref="I64">IF(F64 &gt;= H64,F64 * commission, 0)</f>
        <v>0</v>
      </c>
    </row>
    <row r="65" spans="1:9">
      <c r="A65" s="5">
        <v>44440</v>
      </c>
      <c r="B65" s="4" t="s">
        <v>44</v>
      </c>
      <c r="C65" s="4" t="s">
        <v>45</v>
      </c>
      <c r="D65" s="4" t="s">
        <v>46</v>
      </c>
      <c r="E65" s="4" t="s">
        <v>3</v>
      </c>
      <c r="F65" s="6">
        <v>10218</v>
      </c>
      <c r="G65" s="4" t="s">
        <v>22</v>
      </c>
      <c r="H65" s="9">
        <v>15000</v>
      </c>
      <c r="I65" s="8" cm="1">
        <f t="array" ref="I65">IF(F65 &gt;= H65,F65 * commission, 0)</f>
        <v>0</v>
      </c>
    </row>
    <row r="66" spans="1:9">
      <c r="A66" s="5">
        <v>44440</v>
      </c>
      <c r="B66" s="4" t="s">
        <v>47</v>
      </c>
      <c r="C66" s="4" t="s">
        <v>48</v>
      </c>
      <c r="D66" s="4" t="s">
        <v>49</v>
      </c>
      <c r="E66" s="4" t="s">
        <v>3</v>
      </c>
      <c r="F66" s="6">
        <v>14311.2</v>
      </c>
      <c r="G66" s="4" t="s">
        <v>27</v>
      </c>
      <c r="H66" s="9">
        <v>15000</v>
      </c>
      <c r="I66" s="8" cm="1">
        <f t="array" ref="I66">IF(F66 &gt;= H66,F66 * commission, 0)</f>
        <v>0</v>
      </c>
    </row>
    <row r="67" spans="1:9">
      <c r="A67" s="5">
        <v>44440</v>
      </c>
      <c r="B67" s="4" t="s">
        <v>47</v>
      </c>
      <c r="C67" s="4" t="s">
        <v>48</v>
      </c>
      <c r="D67" s="4" t="s">
        <v>49</v>
      </c>
      <c r="E67" s="4" t="s">
        <v>3</v>
      </c>
      <c r="F67" s="6">
        <v>14715.2</v>
      </c>
      <c r="G67" s="4" t="s">
        <v>22</v>
      </c>
      <c r="H67" s="9">
        <v>15000</v>
      </c>
      <c r="I67" s="8" cm="1">
        <f t="array" ref="I67">IF(F67 &gt;= H67,F67 * commission, 0)</f>
        <v>0</v>
      </c>
    </row>
    <row r="68" spans="1:9">
      <c r="A68" s="5">
        <v>44440</v>
      </c>
      <c r="B68" s="4" t="s">
        <v>71</v>
      </c>
      <c r="C68" s="4" t="s">
        <v>72</v>
      </c>
      <c r="D68" s="4" t="s">
        <v>73</v>
      </c>
      <c r="E68" s="4" t="s">
        <v>3</v>
      </c>
      <c r="F68" s="6">
        <v>19147.8</v>
      </c>
      <c r="G68" s="4" t="s">
        <v>22</v>
      </c>
      <c r="H68" s="9">
        <v>15000</v>
      </c>
      <c r="I68" s="8" cm="1">
        <f t="array" ref="I68">IF(F68 &gt;= H68,F68 * commission, 0)</f>
        <v>1914.78</v>
      </c>
    </row>
    <row r="69" spans="1:9">
      <c r="A69" s="5">
        <v>44440</v>
      </c>
      <c r="B69" s="4" t="s">
        <v>47</v>
      </c>
      <c r="C69" s="4" t="s">
        <v>48</v>
      </c>
      <c r="D69" s="4" t="s">
        <v>49</v>
      </c>
      <c r="E69" s="4" t="s">
        <v>3</v>
      </c>
      <c r="F69" s="6">
        <v>20760.300000000003</v>
      </c>
      <c r="G69" s="4" t="s">
        <v>22</v>
      </c>
      <c r="H69" s="9">
        <v>15000</v>
      </c>
      <c r="I69" s="8" cm="1">
        <f t="array" ref="I69">IF(F69 &gt;= H69,F69 * commission, 0)</f>
        <v>2076.0300000000002</v>
      </c>
    </row>
    <row r="70" spans="1:9">
      <c r="A70" s="5">
        <v>44440</v>
      </c>
      <c r="B70" s="4" t="s">
        <v>71</v>
      </c>
      <c r="C70" s="4" t="s">
        <v>72</v>
      </c>
      <c r="D70" s="4" t="s">
        <v>73</v>
      </c>
      <c r="E70" s="4" t="s">
        <v>3</v>
      </c>
      <c r="F70" s="6">
        <v>24579.8</v>
      </c>
      <c r="G70" s="4" t="s">
        <v>27</v>
      </c>
      <c r="H70" s="9">
        <v>15000</v>
      </c>
      <c r="I70" s="8" cm="1">
        <f t="array" ref="I70">IF(F70 &gt;= H70,F70 * commission, 0)</f>
        <v>2457.98</v>
      </c>
    </row>
    <row r="71" spans="1:9">
      <c r="A71" s="5">
        <v>44440</v>
      </c>
      <c r="B71" s="4" t="s">
        <v>71</v>
      </c>
      <c r="C71" s="4" t="s">
        <v>72</v>
      </c>
      <c r="D71" s="4" t="s">
        <v>73</v>
      </c>
      <c r="E71" s="4" t="s">
        <v>3</v>
      </c>
      <c r="F71" s="6">
        <v>25946.300000000003</v>
      </c>
      <c r="G71" s="4" t="s">
        <v>28</v>
      </c>
      <c r="H71" s="9">
        <v>15000</v>
      </c>
      <c r="I71" s="8" cm="1">
        <f t="array" ref="I71">IF(F71 &gt;= H71,F71 * commission, 0)</f>
        <v>2594.6300000000006</v>
      </c>
    </row>
    <row r="72" spans="1:9">
      <c r="A72" s="5">
        <v>44440</v>
      </c>
      <c r="B72" s="4" t="s">
        <v>41</v>
      </c>
      <c r="C72" s="4" t="s">
        <v>42</v>
      </c>
      <c r="D72" s="4" t="s">
        <v>43</v>
      </c>
      <c r="E72" s="4" t="s">
        <v>3</v>
      </c>
      <c r="F72" s="6">
        <v>30367.999999999996</v>
      </c>
      <c r="G72" s="4" t="s">
        <v>22</v>
      </c>
      <c r="H72" s="9">
        <v>15000</v>
      </c>
      <c r="I72" s="8" cm="1">
        <f t="array" ref="I72">IF(F72 &gt;= H72,F72 * commission, 0)</f>
        <v>3036.7999999999997</v>
      </c>
    </row>
    <row r="73" spans="1:9">
      <c r="A73" s="5">
        <v>44440</v>
      </c>
      <c r="B73" s="4" t="s">
        <v>50</v>
      </c>
      <c r="C73" s="4" t="s">
        <v>51</v>
      </c>
      <c r="D73" s="4" t="s">
        <v>52</v>
      </c>
      <c r="E73" s="4" t="s">
        <v>3</v>
      </c>
      <c r="F73" s="6">
        <v>35640</v>
      </c>
      <c r="G73" s="4" t="s">
        <v>27</v>
      </c>
      <c r="H73" s="9">
        <v>15000</v>
      </c>
      <c r="I73" s="8" cm="1">
        <f t="array" ref="I73">IF(F73 &gt;= H73,F73 * commission, 0)</f>
        <v>3564</v>
      </c>
    </row>
    <row r="74" spans="1:9">
      <c r="A74" s="5">
        <v>44470</v>
      </c>
      <c r="B74" s="4" t="s">
        <v>44</v>
      </c>
      <c r="C74" s="4" t="s">
        <v>45</v>
      </c>
      <c r="D74" s="4" t="s">
        <v>46</v>
      </c>
      <c r="E74" s="4" t="s">
        <v>3</v>
      </c>
      <c r="F74" s="6">
        <v>4201.6000000000004</v>
      </c>
      <c r="G74" s="4" t="s">
        <v>22</v>
      </c>
      <c r="H74" s="9">
        <v>15000</v>
      </c>
      <c r="I74" s="8" cm="1">
        <f t="array" ref="I74">IF(F74 &gt;= H74,F74 * commission, 0)</f>
        <v>0</v>
      </c>
    </row>
    <row r="75" spans="1:9">
      <c r="A75" s="5">
        <v>44470</v>
      </c>
      <c r="B75" s="4" t="s">
        <v>41</v>
      </c>
      <c r="C75" s="4" t="s">
        <v>42</v>
      </c>
      <c r="D75" s="4" t="s">
        <v>43</v>
      </c>
      <c r="E75" s="4" t="s">
        <v>3</v>
      </c>
      <c r="F75" s="6">
        <v>15262.8</v>
      </c>
      <c r="G75" s="4" t="s">
        <v>28</v>
      </c>
      <c r="H75" s="9">
        <v>15000</v>
      </c>
      <c r="I75" s="8" cm="1">
        <f t="array" ref="I75">IF(F75 &gt;= H75,F75 * commission, 0)</f>
        <v>1526.28</v>
      </c>
    </row>
    <row r="76" spans="1:9">
      <c r="A76" s="5">
        <v>44470</v>
      </c>
      <c r="B76" s="4" t="s">
        <v>71</v>
      </c>
      <c r="C76" s="4" t="s">
        <v>72</v>
      </c>
      <c r="D76" s="4" t="s">
        <v>73</v>
      </c>
      <c r="E76" s="4" t="s">
        <v>3</v>
      </c>
      <c r="F76" s="6">
        <v>20790</v>
      </c>
      <c r="G76" s="4" t="s">
        <v>22</v>
      </c>
      <c r="H76" s="9">
        <v>15000</v>
      </c>
      <c r="I76" s="8" cm="1">
        <f t="array" ref="I76">IF(F76 &gt;= H76,F76 * commission, 0)</f>
        <v>2079</v>
      </c>
    </row>
    <row r="77" spans="1:9">
      <c r="A77" s="5">
        <v>44470</v>
      </c>
      <c r="B77" s="4" t="s">
        <v>44</v>
      </c>
      <c r="C77" s="4" t="s">
        <v>45</v>
      </c>
      <c r="D77" s="4" t="s">
        <v>46</v>
      </c>
      <c r="E77" s="4" t="s">
        <v>3</v>
      </c>
      <c r="F77" s="6">
        <v>21878.5</v>
      </c>
      <c r="G77" s="4" t="s">
        <v>27</v>
      </c>
      <c r="H77" s="9">
        <v>15000</v>
      </c>
      <c r="I77" s="8" cm="1">
        <f t="array" ref="I77">IF(F77 &gt;= H77,F77 * commission, 0)</f>
        <v>2187.85</v>
      </c>
    </row>
    <row r="78" spans="1:9">
      <c r="A78" s="5">
        <v>44470</v>
      </c>
      <c r="B78" s="4" t="s">
        <v>71</v>
      </c>
      <c r="C78" s="4" t="s">
        <v>72</v>
      </c>
      <c r="D78" s="4" t="s">
        <v>73</v>
      </c>
      <c r="E78" s="4" t="s">
        <v>3</v>
      </c>
      <c r="F78" s="6">
        <v>22136.800000000003</v>
      </c>
      <c r="G78" s="4" t="s">
        <v>27</v>
      </c>
      <c r="H78" s="9">
        <v>15000</v>
      </c>
      <c r="I78" s="8" cm="1">
        <f t="array" ref="I78">IF(F78 &gt;= H78,F78 * commission, 0)</f>
        <v>2213.6800000000003</v>
      </c>
    </row>
    <row r="79" spans="1:9">
      <c r="A79" s="5">
        <v>44470</v>
      </c>
      <c r="B79" s="4" t="s">
        <v>71</v>
      </c>
      <c r="C79" s="4" t="s">
        <v>72</v>
      </c>
      <c r="D79" s="4" t="s">
        <v>73</v>
      </c>
      <c r="E79" s="4" t="s">
        <v>3</v>
      </c>
      <c r="F79" s="6">
        <v>23240.400000000001</v>
      </c>
      <c r="G79" s="4" t="s">
        <v>22</v>
      </c>
      <c r="H79" s="9">
        <v>15000</v>
      </c>
      <c r="I79" s="8" cm="1">
        <f t="array" ref="I79">IF(F79 &gt;= H79,F79 * commission, 0)</f>
        <v>2324.0400000000004</v>
      </c>
    </row>
    <row r="80" spans="1:9">
      <c r="A80" s="5">
        <v>44470</v>
      </c>
      <c r="B80" s="4" t="s">
        <v>44</v>
      </c>
      <c r="C80" s="4" t="s">
        <v>45</v>
      </c>
      <c r="D80" s="4" t="s">
        <v>46</v>
      </c>
      <c r="E80" s="4" t="s">
        <v>3</v>
      </c>
      <c r="F80" s="6">
        <v>41989.599999999999</v>
      </c>
      <c r="G80" s="4" t="s">
        <v>27</v>
      </c>
      <c r="H80" s="9">
        <v>15000</v>
      </c>
      <c r="I80" s="8" cm="1">
        <f t="array" ref="I80">IF(F80 &gt;= H80,F80 * commission, 0)</f>
        <v>4198.96</v>
      </c>
    </row>
    <row r="81" spans="1:9">
      <c r="A81" s="5">
        <v>44501</v>
      </c>
      <c r="B81" s="4" t="s">
        <v>47</v>
      </c>
      <c r="C81" s="4" t="s">
        <v>48</v>
      </c>
      <c r="D81" s="4" t="s">
        <v>49</v>
      </c>
      <c r="E81" s="4" t="s">
        <v>3</v>
      </c>
      <c r="F81" s="6">
        <v>9006</v>
      </c>
      <c r="G81" s="4" t="s">
        <v>28</v>
      </c>
      <c r="H81" s="9">
        <v>15000</v>
      </c>
      <c r="I81" s="8" cm="1">
        <f t="array" ref="I81">IF(F81 &gt;= H81,F81 * commission, 0)</f>
        <v>0</v>
      </c>
    </row>
    <row r="82" spans="1:9">
      <c r="A82" s="5">
        <v>44501</v>
      </c>
      <c r="B82" s="4" t="s">
        <v>44</v>
      </c>
      <c r="C82" s="4" t="s">
        <v>45</v>
      </c>
      <c r="D82" s="4" t="s">
        <v>46</v>
      </c>
      <c r="E82" s="4" t="s">
        <v>3</v>
      </c>
      <c r="F82" s="6">
        <v>10573.5</v>
      </c>
      <c r="G82" s="4" t="s">
        <v>27</v>
      </c>
      <c r="H82" s="9">
        <v>15000</v>
      </c>
      <c r="I82" s="8" cm="1">
        <f t="array" ref="I82">IF(F82 &gt;= H82,F82 * commission, 0)</f>
        <v>0</v>
      </c>
    </row>
    <row r="83" spans="1:9">
      <c r="A83" s="5">
        <v>44501</v>
      </c>
      <c r="B83" s="4" t="s">
        <v>50</v>
      </c>
      <c r="C83" s="4" t="s">
        <v>51</v>
      </c>
      <c r="D83" s="4" t="s">
        <v>52</v>
      </c>
      <c r="E83" s="4" t="s">
        <v>3</v>
      </c>
      <c r="F83" s="6">
        <v>13230</v>
      </c>
      <c r="G83" s="4" t="s">
        <v>22</v>
      </c>
      <c r="H83" s="9">
        <v>15000</v>
      </c>
      <c r="I83" s="8" cm="1">
        <f t="array" ref="I83">IF(F83 &gt;= H83,F83 * commission, 0)</f>
        <v>0</v>
      </c>
    </row>
    <row r="84" spans="1:9">
      <c r="A84" s="5">
        <v>44501</v>
      </c>
      <c r="B84" s="4" t="s">
        <v>41</v>
      </c>
      <c r="C84" s="4" t="s">
        <v>42</v>
      </c>
      <c r="D84" s="4" t="s">
        <v>43</v>
      </c>
      <c r="E84" s="4" t="s">
        <v>3</v>
      </c>
      <c r="F84" s="6">
        <v>15403.600000000002</v>
      </c>
      <c r="G84" s="4" t="s">
        <v>22</v>
      </c>
      <c r="H84" s="9">
        <v>15000</v>
      </c>
      <c r="I84" s="8" cm="1">
        <f t="array" ref="I84">IF(F84 &gt;= H84,F84 * commission, 0)</f>
        <v>1540.3600000000004</v>
      </c>
    </row>
    <row r="85" spans="1:9">
      <c r="A85" s="5">
        <v>44501</v>
      </c>
      <c r="B85" s="4" t="s">
        <v>47</v>
      </c>
      <c r="C85" s="4" t="s">
        <v>48</v>
      </c>
      <c r="D85" s="4" t="s">
        <v>49</v>
      </c>
      <c r="E85" s="4" t="s">
        <v>3</v>
      </c>
      <c r="F85" s="6">
        <v>16394.399999999998</v>
      </c>
      <c r="G85" s="4" t="s">
        <v>22</v>
      </c>
      <c r="H85" s="9">
        <v>15000</v>
      </c>
      <c r="I85" s="8" cm="1">
        <f t="array" ref="I85">IF(F85 &gt;= H85,F85 * commission, 0)</f>
        <v>1639.4399999999998</v>
      </c>
    </row>
    <row r="86" spans="1:9">
      <c r="A86" s="5">
        <v>44501</v>
      </c>
      <c r="B86" s="4" t="s">
        <v>47</v>
      </c>
      <c r="C86" s="4" t="s">
        <v>48</v>
      </c>
      <c r="D86" s="4" t="s">
        <v>49</v>
      </c>
      <c r="E86" s="4" t="s">
        <v>3</v>
      </c>
      <c r="F86" s="6">
        <v>16606</v>
      </c>
      <c r="G86" s="4" t="s">
        <v>28</v>
      </c>
      <c r="H86" s="9">
        <v>15000</v>
      </c>
      <c r="I86" s="8" cm="1">
        <f t="array" ref="I86">IF(F86 &gt;= H86,F86 * commission, 0)</f>
        <v>1660.6000000000001</v>
      </c>
    </row>
    <row r="87" spans="1:9">
      <c r="A87" s="5">
        <v>44501</v>
      </c>
      <c r="B87" s="4" t="s">
        <v>41</v>
      </c>
      <c r="C87" s="4" t="s">
        <v>42</v>
      </c>
      <c r="D87" s="4" t="s">
        <v>43</v>
      </c>
      <c r="E87" s="4" t="s">
        <v>3</v>
      </c>
      <c r="F87" s="6">
        <v>18452.599999999999</v>
      </c>
      <c r="G87" s="4" t="s">
        <v>28</v>
      </c>
      <c r="H87" s="9">
        <v>15000</v>
      </c>
      <c r="I87" s="8" cm="1">
        <f t="array" ref="I87">IF(F87 &gt;= H87,F87 * commission, 0)</f>
        <v>1845.26</v>
      </c>
    </row>
    <row r="88" spans="1:9">
      <c r="A88" s="5">
        <v>44501</v>
      </c>
      <c r="B88" s="4" t="s">
        <v>44</v>
      </c>
      <c r="C88" s="4" t="s">
        <v>45</v>
      </c>
      <c r="D88" s="4" t="s">
        <v>46</v>
      </c>
      <c r="E88" s="4" t="s">
        <v>3</v>
      </c>
      <c r="F88" s="6">
        <v>20062.5</v>
      </c>
      <c r="G88" s="4" t="s">
        <v>27</v>
      </c>
      <c r="H88" s="9">
        <v>15000</v>
      </c>
      <c r="I88" s="8" cm="1">
        <f t="array" ref="I88">IF(F88 &gt;= H88,F88 * commission, 0)</f>
        <v>2006.25</v>
      </c>
    </row>
    <row r="89" spans="1:9">
      <c r="A89" s="5">
        <v>44501</v>
      </c>
      <c r="B89" s="4" t="s">
        <v>71</v>
      </c>
      <c r="C89" s="4" t="s">
        <v>72</v>
      </c>
      <c r="D89" s="4" t="s">
        <v>73</v>
      </c>
      <c r="E89" s="4" t="s">
        <v>3</v>
      </c>
      <c r="F89" s="6">
        <v>22900.499999999996</v>
      </c>
      <c r="G89" s="4" t="s">
        <v>27</v>
      </c>
      <c r="H89" s="9">
        <v>15000</v>
      </c>
      <c r="I89" s="8" cm="1">
        <f t="array" ref="I89">IF(F89 &gt;= H89,F89 * commission, 0)</f>
        <v>2290.0499999999997</v>
      </c>
    </row>
    <row r="90" spans="1:9">
      <c r="A90" s="5">
        <v>44501</v>
      </c>
      <c r="B90" s="4" t="s">
        <v>71</v>
      </c>
      <c r="C90" s="4" t="s">
        <v>72</v>
      </c>
      <c r="D90" s="4" t="s">
        <v>73</v>
      </c>
      <c r="E90" s="4" t="s">
        <v>3</v>
      </c>
      <c r="F90" s="6">
        <v>23057.999999999996</v>
      </c>
      <c r="G90" s="4" t="s">
        <v>28</v>
      </c>
      <c r="H90" s="9">
        <v>15000</v>
      </c>
      <c r="I90" s="8" cm="1">
        <f t="array" ref="I90">IF(F90 &gt;= H90,F90 * commission, 0)</f>
        <v>2305.7999999999997</v>
      </c>
    </row>
    <row r="91" spans="1:9">
      <c r="A91" s="5">
        <v>44501</v>
      </c>
      <c r="B91" s="4" t="s">
        <v>47</v>
      </c>
      <c r="C91" s="4" t="s">
        <v>48</v>
      </c>
      <c r="D91" s="4" t="s">
        <v>49</v>
      </c>
      <c r="E91" s="4" t="s">
        <v>3</v>
      </c>
      <c r="F91" s="6">
        <v>37560</v>
      </c>
      <c r="G91" s="4" t="s">
        <v>28</v>
      </c>
      <c r="H91" s="9">
        <v>15000</v>
      </c>
      <c r="I91" s="8" cm="1">
        <f t="array" ref="I91">IF(F91 &gt;= H91,F91 * commission, 0)</f>
        <v>3756</v>
      </c>
    </row>
    <row r="92" spans="1:9">
      <c r="A92" s="5">
        <v>44501</v>
      </c>
      <c r="B92" s="4" t="s">
        <v>44</v>
      </c>
      <c r="C92" s="4" t="s">
        <v>45</v>
      </c>
      <c r="D92" s="4" t="s">
        <v>46</v>
      </c>
      <c r="E92" s="4" t="s">
        <v>3</v>
      </c>
      <c r="F92" s="6">
        <v>38570</v>
      </c>
      <c r="G92" s="4" t="s">
        <v>27</v>
      </c>
      <c r="H92" s="9">
        <v>15000</v>
      </c>
      <c r="I92" s="8" cm="1">
        <f t="array" ref="I92">IF(F92 &gt;= H92,F92 * commission, 0)</f>
        <v>3857</v>
      </c>
    </row>
    <row r="93" spans="1:9">
      <c r="A93" s="5">
        <v>44501</v>
      </c>
      <c r="B93" s="4" t="s">
        <v>41</v>
      </c>
      <c r="C93" s="4" t="s">
        <v>42</v>
      </c>
      <c r="D93" s="4" t="s">
        <v>43</v>
      </c>
      <c r="E93" s="4" t="s">
        <v>3</v>
      </c>
      <c r="F93" s="6">
        <v>39199.599999999999</v>
      </c>
      <c r="G93" s="4" t="s">
        <v>28</v>
      </c>
      <c r="H93" s="9">
        <v>15000</v>
      </c>
      <c r="I93" s="8" cm="1">
        <f t="array" ref="I93">IF(F93 &gt;= H93,F93 * commission, 0)</f>
        <v>3919.96</v>
      </c>
    </row>
    <row r="94" spans="1:9">
      <c r="A94" s="5">
        <v>44531</v>
      </c>
      <c r="B94" s="4" t="s">
        <v>47</v>
      </c>
      <c r="C94" s="4" t="s">
        <v>48</v>
      </c>
      <c r="D94" s="4" t="s">
        <v>49</v>
      </c>
      <c r="E94" s="4" t="s">
        <v>3</v>
      </c>
      <c r="F94" s="6">
        <v>8082.7999999999993</v>
      </c>
      <c r="G94" s="4" t="s">
        <v>27</v>
      </c>
      <c r="H94" s="9">
        <v>15000</v>
      </c>
      <c r="I94" s="8" cm="1">
        <f t="array" ref="I94">IF(F94 &gt;= H94,F94 * commission, 0)</f>
        <v>0</v>
      </c>
    </row>
    <row r="95" spans="1:9">
      <c r="A95" s="5">
        <v>44531</v>
      </c>
      <c r="B95" s="4" t="s">
        <v>44</v>
      </c>
      <c r="C95" s="4" t="s">
        <v>45</v>
      </c>
      <c r="D95" s="4" t="s">
        <v>46</v>
      </c>
      <c r="E95" s="4" t="s">
        <v>3</v>
      </c>
      <c r="F95" s="6">
        <v>9826.4</v>
      </c>
      <c r="G95" s="4" t="s">
        <v>28</v>
      </c>
      <c r="H95" s="9">
        <v>15000</v>
      </c>
      <c r="I95" s="8" cm="1">
        <f t="array" ref="I95">IF(F95 &gt;= H95,F95 * commission, 0)</f>
        <v>0</v>
      </c>
    </row>
    <row r="96" spans="1:9">
      <c r="A96" s="5">
        <v>44531</v>
      </c>
      <c r="B96" s="4" t="s">
        <v>71</v>
      </c>
      <c r="C96" s="4" t="s">
        <v>72</v>
      </c>
      <c r="D96" s="4" t="s">
        <v>73</v>
      </c>
      <c r="E96" s="4" t="s">
        <v>3</v>
      </c>
      <c r="F96" s="6">
        <v>12328</v>
      </c>
      <c r="G96" s="4" t="s">
        <v>22</v>
      </c>
      <c r="H96" s="9">
        <v>15000</v>
      </c>
      <c r="I96" s="8" cm="1">
        <f t="array" ref="I96">IF(F96 &gt;= H96,F96 * commission, 0)</f>
        <v>0</v>
      </c>
    </row>
    <row r="97" spans="1:9">
      <c r="A97" s="5">
        <v>44531</v>
      </c>
      <c r="B97" s="4" t="s">
        <v>47</v>
      </c>
      <c r="C97" s="4" t="s">
        <v>48</v>
      </c>
      <c r="D97" s="4" t="s">
        <v>49</v>
      </c>
      <c r="E97" s="4" t="s">
        <v>3</v>
      </c>
      <c r="F97" s="6">
        <v>24544</v>
      </c>
      <c r="G97" s="4" t="s">
        <v>22</v>
      </c>
      <c r="H97" s="9">
        <v>15000</v>
      </c>
      <c r="I97" s="8" cm="1">
        <f t="array" ref="I97">IF(F97 &gt;= H97,F97 * commission, 0)</f>
        <v>2454.4</v>
      </c>
    </row>
    <row r="98" spans="1:9">
      <c r="A98" s="5">
        <v>44531</v>
      </c>
      <c r="B98" s="4" t="s">
        <v>41</v>
      </c>
      <c r="C98" s="4" t="s">
        <v>42</v>
      </c>
      <c r="D98" s="4" t="s">
        <v>43</v>
      </c>
      <c r="E98" s="4" t="s">
        <v>3</v>
      </c>
      <c r="F98" s="6">
        <v>27350.400000000001</v>
      </c>
      <c r="G98" s="4" t="s">
        <v>28</v>
      </c>
      <c r="H98" s="9">
        <v>15000</v>
      </c>
      <c r="I98" s="8" cm="1">
        <f t="array" ref="I98">IF(F98 &gt;= H98,F98 * commission, 0)</f>
        <v>2735.0400000000004</v>
      </c>
    </row>
    <row r="99" spans="1:9">
      <c r="A99" s="5">
        <v>44531</v>
      </c>
      <c r="B99" s="4" t="s">
        <v>50</v>
      </c>
      <c r="C99" s="4" t="s">
        <v>51</v>
      </c>
      <c r="D99" s="4" t="s">
        <v>52</v>
      </c>
      <c r="E99" s="4" t="s">
        <v>3</v>
      </c>
      <c r="F99" s="6">
        <v>28845</v>
      </c>
      <c r="G99" s="4" t="s">
        <v>22</v>
      </c>
      <c r="H99" s="9">
        <v>15000</v>
      </c>
      <c r="I99" s="8" cm="1">
        <f t="array" ref="I99">IF(F99 &gt;= H99,F99 * commission, 0)</f>
        <v>2884.5</v>
      </c>
    </row>
    <row r="100" spans="1:9">
      <c r="A100" s="5">
        <v>44531</v>
      </c>
      <c r="B100" s="4" t="s">
        <v>41</v>
      </c>
      <c r="C100" s="4" t="s">
        <v>42</v>
      </c>
      <c r="D100" s="4" t="s">
        <v>43</v>
      </c>
      <c r="E100" s="4" t="s">
        <v>3</v>
      </c>
      <c r="F100" s="6">
        <v>43593.599999999999</v>
      </c>
      <c r="G100" s="4" t="s">
        <v>22</v>
      </c>
      <c r="H100" s="9">
        <v>15000</v>
      </c>
      <c r="I100" s="8" cm="1">
        <f t="array" ref="I100">IF(F100 &gt;= H100,F100 * commission, 0)</f>
        <v>4359.3599999999997</v>
      </c>
    </row>
  </sheetData>
  <conditionalFormatting sqref="F1:F1048576">
    <cfRule type="top10" dxfId="23" priority="1" rank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8826-2434-4A6B-B864-87FE05C4FC68}">
  <dimension ref="A1:AA97"/>
  <sheetViews>
    <sheetView topLeftCell="J1" workbookViewId="0">
      <selection activeCell="K2" sqref="K2:AA2"/>
    </sheetView>
  </sheetViews>
  <sheetFormatPr defaultRowHeight="15"/>
  <cols>
    <col min="1" max="1" width="6.85546875" bestFit="1" customWidth="1"/>
    <col min="2" max="2" width="15" bestFit="1" customWidth="1"/>
    <col min="3" max="3" width="9.5703125" bestFit="1" customWidth="1"/>
    <col min="4" max="4" width="9.7109375" bestFit="1" customWidth="1"/>
    <col min="5" max="5" width="9" bestFit="1" customWidth="1"/>
    <col min="6" max="6" width="11.7109375" bestFit="1" customWidth="1"/>
    <col min="7" max="7" width="12.28515625" bestFit="1" customWidth="1"/>
    <col min="8" max="8" width="6.85546875" bestFit="1" customWidth="1"/>
    <col min="9" max="9" width="11.42578125" bestFit="1" customWidth="1"/>
    <col min="11" max="11" width="10.140625" bestFit="1" customWidth="1"/>
    <col min="12" max="12" width="16.42578125" bestFit="1" customWidth="1"/>
  </cols>
  <sheetData>
    <row r="1" spans="1:27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6" t="s">
        <v>15</v>
      </c>
      <c r="G1" s="4" t="s">
        <v>16</v>
      </c>
      <c r="H1" s="6" t="s">
        <v>17</v>
      </c>
      <c r="I1" s="6" t="s">
        <v>18</v>
      </c>
      <c r="K1" t="s">
        <v>19</v>
      </c>
      <c r="L1" t="s">
        <v>24</v>
      </c>
    </row>
    <row r="2" spans="1:27">
      <c r="A2" s="5">
        <v>44197</v>
      </c>
      <c r="B2" s="4" t="s">
        <v>19</v>
      </c>
      <c r="C2" s="4" t="s">
        <v>20</v>
      </c>
      <c r="D2" s="4" t="s">
        <v>21</v>
      </c>
      <c r="E2" s="4" t="s">
        <v>4</v>
      </c>
      <c r="F2" s="6">
        <v>2954.7</v>
      </c>
      <c r="G2" s="4" t="s">
        <v>22</v>
      </c>
      <c r="H2" s="8" t="s">
        <v>23</v>
      </c>
      <c r="I2" s="8" cm="1">
        <f t="array" ref="I2">IF(F2 &gt;= H2,F2 * commission, 0)</f>
        <v>0</v>
      </c>
      <c r="K2">
        <f>SUMIF($B:$B, K1, $F:$F)</f>
        <v>526806.6</v>
      </c>
      <c r="L2">
        <f t="shared" ref="L2:AA2" si="0">SUMIF($B:$B, L1, $F:$F)</f>
        <v>227895.80000000002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</row>
    <row r="3" spans="1:27">
      <c r="A3" s="5">
        <v>44197</v>
      </c>
      <c r="B3" s="4" t="s">
        <v>24</v>
      </c>
      <c r="C3" s="4" t="s">
        <v>25</v>
      </c>
      <c r="D3" s="4" t="s">
        <v>26</v>
      </c>
      <c r="E3" s="4" t="s">
        <v>4</v>
      </c>
      <c r="F3" s="6">
        <v>6796.7999999999993</v>
      </c>
      <c r="G3" s="4" t="s">
        <v>27</v>
      </c>
      <c r="H3" s="9">
        <v>15000</v>
      </c>
      <c r="I3" s="8" cm="1">
        <f t="array" ref="I3">IF(F3 &gt;= H3,F3 * commission, 0)</f>
        <v>0</v>
      </c>
    </row>
    <row r="4" spans="1:27">
      <c r="A4" s="5">
        <v>44197</v>
      </c>
      <c r="B4" s="4" t="s">
        <v>24</v>
      </c>
      <c r="C4" s="4" t="s">
        <v>25</v>
      </c>
      <c r="D4" s="4" t="s">
        <v>26</v>
      </c>
      <c r="E4" s="4" t="s">
        <v>4</v>
      </c>
      <c r="F4" s="6">
        <v>8188</v>
      </c>
      <c r="G4" s="4" t="s">
        <v>28</v>
      </c>
      <c r="H4" s="9">
        <v>15000</v>
      </c>
      <c r="I4" s="8" cm="1">
        <f t="array" ref="I4">IF(F4 &gt;= H4,F4 * commission, 0)</f>
        <v>0</v>
      </c>
    </row>
    <row r="5" spans="1:27">
      <c r="A5" s="5">
        <v>44197</v>
      </c>
      <c r="B5" s="4" t="s">
        <v>19</v>
      </c>
      <c r="C5" s="4" t="s">
        <v>20</v>
      </c>
      <c r="D5" s="4" t="s">
        <v>21</v>
      </c>
      <c r="E5" s="4" t="s">
        <v>4</v>
      </c>
      <c r="F5" s="6">
        <v>9058.4</v>
      </c>
      <c r="G5" s="4" t="s">
        <v>27</v>
      </c>
      <c r="H5" s="9">
        <v>15000</v>
      </c>
      <c r="I5" s="8" cm="1">
        <f t="array" ref="I5">IF(F5 &gt;= H5,F5 * commission, 0)</f>
        <v>0</v>
      </c>
    </row>
    <row r="6" spans="1:27">
      <c r="A6" s="5">
        <v>44197</v>
      </c>
      <c r="B6" s="4" t="s">
        <v>24</v>
      </c>
      <c r="C6" s="4" t="s">
        <v>25</v>
      </c>
      <c r="D6" s="4" t="s">
        <v>26</v>
      </c>
      <c r="E6" s="4" t="s">
        <v>4</v>
      </c>
      <c r="F6" s="6">
        <v>12096</v>
      </c>
      <c r="G6" s="4" t="s">
        <v>28</v>
      </c>
      <c r="H6" s="9">
        <v>15000</v>
      </c>
      <c r="I6" s="8" cm="1">
        <f t="array" ref="I6">IF(F6 &gt;= H6,F6 * commission, 0)</f>
        <v>0</v>
      </c>
    </row>
    <row r="7" spans="1:27">
      <c r="A7" s="5">
        <v>44197</v>
      </c>
      <c r="B7" s="4" t="s">
        <v>29</v>
      </c>
      <c r="C7" s="4" t="s">
        <v>30</v>
      </c>
      <c r="D7" s="4" t="s">
        <v>31</v>
      </c>
      <c r="E7" s="4" t="s">
        <v>4</v>
      </c>
      <c r="F7" s="6">
        <v>15029</v>
      </c>
      <c r="G7" s="4" t="s">
        <v>22</v>
      </c>
      <c r="H7" s="9">
        <v>15000</v>
      </c>
      <c r="I7" s="8" cm="1">
        <f t="array" ref="I7">IF(F7 &gt;= H7,F7 * commission, 0)</f>
        <v>1502.9</v>
      </c>
    </row>
    <row r="8" spans="1:27">
      <c r="A8" s="5">
        <v>44197</v>
      </c>
      <c r="B8" s="4" t="s">
        <v>29</v>
      </c>
      <c r="C8" s="4" t="s">
        <v>30</v>
      </c>
      <c r="D8" s="4" t="s">
        <v>31</v>
      </c>
      <c r="E8" s="4" t="s">
        <v>4</v>
      </c>
      <c r="F8" s="6">
        <v>15264</v>
      </c>
      <c r="G8" s="4" t="s">
        <v>22</v>
      </c>
      <c r="H8" s="9">
        <v>15000</v>
      </c>
      <c r="I8" s="8" cm="1">
        <f t="array" ref="I8">IF(F8 &gt;= H8,F8 * commission, 0)</f>
        <v>1526.4</v>
      </c>
    </row>
    <row r="9" spans="1:27">
      <c r="A9" s="5">
        <v>44197</v>
      </c>
      <c r="B9" s="4" t="s">
        <v>29</v>
      </c>
      <c r="C9" s="4" t="s">
        <v>30</v>
      </c>
      <c r="D9" s="4" t="s">
        <v>31</v>
      </c>
      <c r="E9" s="4" t="s">
        <v>4</v>
      </c>
      <c r="F9" s="6">
        <v>17353.599999999999</v>
      </c>
      <c r="G9" s="4" t="s">
        <v>27</v>
      </c>
      <c r="H9" s="9">
        <v>15000</v>
      </c>
      <c r="I9" s="8" cm="1">
        <f t="array" ref="I9">IF(F9 &gt;= H9,F9 * commission, 0)</f>
        <v>1735.36</v>
      </c>
    </row>
    <row r="10" spans="1:27">
      <c r="A10" s="5">
        <v>44197</v>
      </c>
      <c r="B10" s="4" t="s">
        <v>32</v>
      </c>
      <c r="C10" s="4" t="s">
        <v>33</v>
      </c>
      <c r="D10" s="4" t="s">
        <v>34</v>
      </c>
      <c r="E10" s="4" t="s">
        <v>4</v>
      </c>
      <c r="F10" s="6">
        <v>20140</v>
      </c>
      <c r="G10" s="4" t="s">
        <v>28</v>
      </c>
      <c r="H10" s="9">
        <v>15000</v>
      </c>
      <c r="I10" s="8" cm="1">
        <f t="array" ref="I10">IF(F10 &gt;= H10,F10 * commission, 0)</f>
        <v>2014</v>
      </c>
    </row>
    <row r="11" spans="1:27">
      <c r="A11" s="5">
        <v>44197</v>
      </c>
      <c r="B11" s="4" t="s">
        <v>32</v>
      </c>
      <c r="C11" s="4" t="s">
        <v>33</v>
      </c>
      <c r="D11" s="4" t="s">
        <v>34</v>
      </c>
      <c r="E11" s="4" t="s">
        <v>4</v>
      </c>
      <c r="F11" s="6">
        <v>35649</v>
      </c>
      <c r="G11" s="4" t="s">
        <v>27</v>
      </c>
      <c r="H11" s="9">
        <v>15000</v>
      </c>
      <c r="I11" s="8" cm="1">
        <f t="array" ref="I11">IF(F11 &gt;= H11,F11 * commission, 0)</f>
        <v>3564.9</v>
      </c>
    </row>
    <row r="12" spans="1:27">
      <c r="A12" s="5">
        <v>44228</v>
      </c>
      <c r="B12" s="4" t="s">
        <v>65</v>
      </c>
      <c r="C12" s="4" t="s">
        <v>66</v>
      </c>
      <c r="D12" s="4" t="s">
        <v>67</v>
      </c>
      <c r="E12" s="4" t="s">
        <v>4</v>
      </c>
      <c r="F12" s="6">
        <v>7717.5</v>
      </c>
      <c r="G12" s="4" t="s">
        <v>28</v>
      </c>
      <c r="H12" s="9">
        <v>15000</v>
      </c>
      <c r="I12" s="8" cm="1">
        <f t="array" ref="I12">IF(F12 &gt;= H12,F12 * commission, 0)</f>
        <v>0</v>
      </c>
    </row>
    <row r="13" spans="1:27">
      <c r="A13" s="5">
        <v>44228</v>
      </c>
      <c r="B13" s="4" t="s">
        <v>65</v>
      </c>
      <c r="C13" s="4" t="s">
        <v>66</v>
      </c>
      <c r="D13" s="4" t="s">
        <v>67</v>
      </c>
      <c r="E13" s="4" t="s">
        <v>4</v>
      </c>
      <c r="F13" s="6">
        <v>11617.6</v>
      </c>
      <c r="G13" s="4" t="s">
        <v>22</v>
      </c>
      <c r="H13" s="9">
        <v>15000</v>
      </c>
      <c r="I13" s="8" cm="1">
        <f t="array" ref="I13">IF(F13 &gt;= H13,F13 * commission, 0)</f>
        <v>0</v>
      </c>
    </row>
    <row r="14" spans="1:27">
      <c r="A14" s="5">
        <v>44228</v>
      </c>
      <c r="B14" s="4" t="s">
        <v>32</v>
      </c>
      <c r="C14" s="4" t="s">
        <v>33</v>
      </c>
      <c r="D14" s="4" t="s">
        <v>34</v>
      </c>
      <c r="E14" s="4" t="s">
        <v>4</v>
      </c>
      <c r="F14" s="6">
        <v>19431</v>
      </c>
      <c r="G14" s="4" t="s">
        <v>22</v>
      </c>
      <c r="H14" s="9">
        <v>15000</v>
      </c>
      <c r="I14" s="8" cm="1">
        <f t="array" ref="I14">IF(F14 &gt;= H14,F14 * commission, 0)</f>
        <v>1943.1000000000001</v>
      </c>
    </row>
    <row r="15" spans="1:27">
      <c r="A15" s="5">
        <v>44228</v>
      </c>
      <c r="B15" s="4" t="s">
        <v>29</v>
      </c>
      <c r="C15" s="4" t="s">
        <v>30</v>
      </c>
      <c r="D15" s="4" t="s">
        <v>31</v>
      </c>
      <c r="E15" s="4" t="s">
        <v>4</v>
      </c>
      <c r="F15" s="6">
        <v>21169.599999999999</v>
      </c>
      <c r="G15" s="4" t="s">
        <v>22</v>
      </c>
      <c r="H15" s="9">
        <v>15000</v>
      </c>
      <c r="I15" s="8" cm="1">
        <f t="array" ref="I15">IF(F15 &gt;= H15,F15 * commission, 0)</f>
        <v>2116.96</v>
      </c>
    </row>
    <row r="16" spans="1:27">
      <c r="A16" s="5">
        <v>44228</v>
      </c>
      <c r="B16" s="4" t="s">
        <v>19</v>
      </c>
      <c r="C16" s="4" t="s">
        <v>20</v>
      </c>
      <c r="D16" s="4" t="s">
        <v>21</v>
      </c>
      <c r="E16" s="4" t="s">
        <v>4</v>
      </c>
      <c r="F16" s="6">
        <v>29158.400000000001</v>
      </c>
      <c r="G16" s="4" t="s">
        <v>22</v>
      </c>
      <c r="H16" s="9">
        <v>15000</v>
      </c>
      <c r="I16" s="8" cm="1">
        <f t="array" ref="I16">IF(F16 &gt;= H16,F16 * commission, 0)</f>
        <v>2915.84</v>
      </c>
    </row>
    <row r="17" spans="1:9">
      <c r="A17" s="5">
        <v>44228</v>
      </c>
      <c r="B17" s="4" t="s">
        <v>32</v>
      </c>
      <c r="C17" s="4" t="s">
        <v>33</v>
      </c>
      <c r="D17" s="4" t="s">
        <v>34</v>
      </c>
      <c r="E17" s="4" t="s">
        <v>4</v>
      </c>
      <c r="F17" s="6">
        <v>30305</v>
      </c>
      <c r="G17" s="4" t="s">
        <v>27</v>
      </c>
      <c r="H17" s="9">
        <v>15000</v>
      </c>
      <c r="I17" s="8" cm="1">
        <f t="array" ref="I17">IF(F17 &gt;= H17,F17 * commission, 0)</f>
        <v>3030.5</v>
      </c>
    </row>
    <row r="18" spans="1:9">
      <c r="A18" s="5">
        <v>44228</v>
      </c>
      <c r="B18" s="4" t="s">
        <v>65</v>
      </c>
      <c r="C18" s="4" t="s">
        <v>66</v>
      </c>
      <c r="D18" s="4" t="s">
        <v>67</v>
      </c>
      <c r="E18" s="4" t="s">
        <v>4</v>
      </c>
      <c r="F18" s="6">
        <v>43184.399999999994</v>
      </c>
      <c r="G18" s="4" t="s">
        <v>28</v>
      </c>
      <c r="H18" s="9">
        <v>15000</v>
      </c>
      <c r="I18" s="8" cm="1">
        <f t="array" ref="I18">IF(F18 &gt;= H18,F18 * commission, 0)</f>
        <v>4318.4399999999996</v>
      </c>
    </row>
    <row r="19" spans="1:9">
      <c r="A19" s="5">
        <v>44256</v>
      </c>
      <c r="B19" s="4" t="s">
        <v>32</v>
      </c>
      <c r="C19" s="4" t="s">
        <v>33</v>
      </c>
      <c r="D19" s="4" t="s">
        <v>34</v>
      </c>
      <c r="E19" s="4" t="s">
        <v>4</v>
      </c>
      <c r="F19" s="6">
        <v>2311.5</v>
      </c>
      <c r="G19" s="4" t="s">
        <v>22</v>
      </c>
      <c r="H19" s="9">
        <v>15000</v>
      </c>
      <c r="I19" s="8" cm="1">
        <f t="array" ref="I19">IF(F19 &gt;= H19,F19 * commission, 0)</f>
        <v>0</v>
      </c>
    </row>
    <row r="20" spans="1:9">
      <c r="A20" s="5">
        <v>44256</v>
      </c>
      <c r="B20" s="4" t="s">
        <v>65</v>
      </c>
      <c r="C20" s="4" t="s">
        <v>66</v>
      </c>
      <c r="D20" s="4" t="s">
        <v>67</v>
      </c>
      <c r="E20" s="4" t="s">
        <v>4</v>
      </c>
      <c r="F20" s="6">
        <v>3013.5</v>
      </c>
      <c r="G20" s="4" t="s">
        <v>22</v>
      </c>
      <c r="H20" s="9">
        <v>15000</v>
      </c>
      <c r="I20" s="8" cm="1">
        <f t="array" ref="I20">IF(F20 &gt;= H20,F20 * commission, 0)</f>
        <v>0</v>
      </c>
    </row>
    <row r="21" spans="1:9">
      <c r="A21" s="5">
        <v>44256</v>
      </c>
      <c r="B21" s="4" t="s">
        <v>65</v>
      </c>
      <c r="C21" s="4" t="s">
        <v>66</v>
      </c>
      <c r="D21" s="4" t="s">
        <v>67</v>
      </c>
      <c r="E21" s="4" t="s">
        <v>4</v>
      </c>
      <c r="F21" s="6">
        <v>5287.5</v>
      </c>
      <c r="G21" s="4" t="s">
        <v>22</v>
      </c>
      <c r="H21" s="9">
        <v>15000</v>
      </c>
      <c r="I21" s="8" cm="1">
        <f t="array" ref="I21">IF(F21 &gt;= H21,F21 * commission, 0)</f>
        <v>0</v>
      </c>
    </row>
    <row r="22" spans="1:9">
      <c r="A22" s="5">
        <v>44256</v>
      </c>
      <c r="B22" s="4" t="s">
        <v>19</v>
      </c>
      <c r="C22" s="4" t="s">
        <v>20</v>
      </c>
      <c r="D22" s="4" t="s">
        <v>21</v>
      </c>
      <c r="E22" s="4" t="s">
        <v>4</v>
      </c>
      <c r="F22" s="6">
        <v>13797</v>
      </c>
      <c r="G22" s="4" t="s">
        <v>27</v>
      </c>
      <c r="H22" s="9">
        <v>15000</v>
      </c>
      <c r="I22" s="8" cm="1">
        <f t="array" ref="I22">IF(F22 &gt;= H22,F22 * commission, 0)</f>
        <v>0</v>
      </c>
    </row>
    <row r="23" spans="1:9">
      <c r="A23" s="5">
        <v>44256</v>
      </c>
      <c r="B23" s="4" t="s">
        <v>24</v>
      </c>
      <c r="C23" s="4" t="s">
        <v>25</v>
      </c>
      <c r="D23" s="4" t="s">
        <v>26</v>
      </c>
      <c r="E23" s="4" t="s">
        <v>4</v>
      </c>
      <c r="F23" s="6">
        <v>14063</v>
      </c>
      <c r="G23" s="4" t="s">
        <v>22</v>
      </c>
      <c r="H23" s="9">
        <v>15000</v>
      </c>
      <c r="I23" s="8" cm="1">
        <f t="array" ref="I23">IF(F23 &gt;= H23,F23 * commission, 0)</f>
        <v>0</v>
      </c>
    </row>
    <row r="24" spans="1:9">
      <c r="A24" s="5">
        <v>44256</v>
      </c>
      <c r="B24" s="4" t="s">
        <v>19</v>
      </c>
      <c r="C24" s="4" t="s">
        <v>20</v>
      </c>
      <c r="D24" s="4" t="s">
        <v>21</v>
      </c>
      <c r="E24" s="4" t="s">
        <v>4</v>
      </c>
      <c r="F24" s="6">
        <v>14608.300000000001</v>
      </c>
      <c r="G24" s="4" t="s">
        <v>27</v>
      </c>
      <c r="H24" s="9">
        <v>15000</v>
      </c>
      <c r="I24" s="8" cm="1">
        <f t="array" ref="I24">IF(F24 &gt;= H24,F24 * commission, 0)</f>
        <v>0</v>
      </c>
    </row>
    <row r="25" spans="1:9">
      <c r="A25" s="5">
        <v>44256</v>
      </c>
      <c r="B25" s="4" t="s">
        <v>65</v>
      </c>
      <c r="C25" s="4" t="s">
        <v>66</v>
      </c>
      <c r="D25" s="4" t="s">
        <v>67</v>
      </c>
      <c r="E25" s="4" t="s">
        <v>4</v>
      </c>
      <c r="F25" s="6">
        <v>16063.199999999999</v>
      </c>
      <c r="G25" s="4" t="s">
        <v>22</v>
      </c>
      <c r="H25" s="9">
        <v>15000</v>
      </c>
      <c r="I25" s="8" cm="1">
        <f t="array" ref="I25">IF(F25 &gt;= H25,F25 * commission, 0)</f>
        <v>1606.32</v>
      </c>
    </row>
    <row r="26" spans="1:9">
      <c r="A26" s="5">
        <v>44256</v>
      </c>
      <c r="B26" s="4" t="s">
        <v>32</v>
      </c>
      <c r="C26" s="4" t="s">
        <v>33</v>
      </c>
      <c r="D26" s="4" t="s">
        <v>34</v>
      </c>
      <c r="E26" s="4" t="s">
        <v>4</v>
      </c>
      <c r="F26" s="6">
        <v>16836</v>
      </c>
      <c r="G26" s="4" t="s">
        <v>27</v>
      </c>
      <c r="H26" s="9">
        <v>15000</v>
      </c>
      <c r="I26" s="8" cm="1">
        <f t="array" ref="I26">IF(F26 &gt;= H26,F26 * commission, 0)</f>
        <v>1683.6000000000001</v>
      </c>
    </row>
    <row r="27" spans="1:9">
      <c r="A27" s="5">
        <v>44256</v>
      </c>
      <c r="B27" s="4" t="s">
        <v>65</v>
      </c>
      <c r="C27" s="4" t="s">
        <v>66</v>
      </c>
      <c r="D27" s="4" t="s">
        <v>67</v>
      </c>
      <c r="E27" s="4" t="s">
        <v>4</v>
      </c>
      <c r="F27" s="6">
        <v>19594</v>
      </c>
      <c r="G27" s="4" t="s">
        <v>28</v>
      </c>
      <c r="H27" s="9">
        <v>15000</v>
      </c>
      <c r="I27" s="8" cm="1">
        <f t="array" ref="I27">IF(F27 &gt;= H27,F27 * commission, 0)</f>
        <v>1959.4</v>
      </c>
    </row>
    <row r="28" spans="1:9">
      <c r="A28" s="5">
        <v>44256</v>
      </c>
      <c r="B28" s="4" t="s">
        <v>32</v>
      </c>
      <c r="C28" s="4" t="s">
        <v>33</v>
      </c>
      <c r="D28" s="4" t="s">
        <v>34</v>
      </c>
      <c r="E28" s="4" t="s">
        <v>4</v>
      </c>
      <c r="F28" s="6">
        <v>21654.400000000001</v>
      </c>
      <c r="G28" s="4" t="s">
        <v>22</v>
      </c>
      <c r="H28" s="9">
        <v>15000</v>
      </c>
      <c r="I28" s="8" cm="1">
        <f t="array" ref="I28">IF(F28 &gt;= H28,F28 * commission, 0)</f>
        <v>2165.44</v>
      </c>
    </row>
    <row r="29" spans="1:9">
      <c r="A29" s="5">
        <v>44256</v>
      </c>
      <c r="B29" s="4" t="s">
        <v>24</v>
      </c>
      <c r="C29" s="4" t="s">
        <v>25</v>
      </c>
      <c r="D29" s="4" t="s">
        <v>26</v>
      </c>
      <c r="E29" s="4" t="s">
        <v>4</v>
      </c>
      <c r="F29" s="6">
        <v>27930</v>
      </c>
      <c r="G29" s="4" t="s">
        <v>27</v>
      </c>
      <c r="H29" s="9">
        <v>15000</v>
      </c>
      <c r="I29" s="8" cm="1">
        <f t="array" ref="I29">IF(F29 &gt;= H29,F29 * commission, 0)</f>
        <v>2793</v>
      </c>
    </row>
    <row r="30" spans="1:9">
      <c r="A30" s="5">
        <v>44256</v>
      </c>
      <c r="B30" s="4" t="s">
        <v>29</v>
      </c>
      <c r="C30" s="4" t="s">
        <v>30</v>
      </c>
      <c r="D30" s="4" t="s">
        <v>31</v>
      </c>
      <c r="E30" s="4" t="s">
        <v>4</v>
      </c>
      <c r="F30" s="6">
        <v>39065.899999999994</v>
      </c>
      <c r="G30" s="4" t="s">
        <v>22</v>
      </c>
      <c r="H30" s="9">
        <v>15000</v>
      </c>
      <c r="I30" s="8" cm="1">
        <f t="array" ref="I30">IF(F30 &gt;= H30,F30 * commission, 0)</f>
        <v>3906.5899999999997</v>
      </c>
    </row>
    <row r="31" spans="1:9">
      <c r="A31" s="5">
        <v>44256</v>
      </c>
      <c r="B31" s="4" t="s">
        <v>65</v>
      </c>
      <c r="C31" s="4" t="s">
        <v>66</v>
      </c>
      <c r="D31" s="4" t="s">
        <v>67</v>
      </c>
      <c r="E31" s="4" t="s">
        <v>4</v>
      </c>
      <c r="F31" s="6">
        <v>44422</v>
      </c>
      <c r="G31" s="4" t="s">
        <v>28</v>
      </c>
      <c r="H31" s="9">
        <v>15000</v>
      </c>
      <c r="I31" s="8" cm="1">
        <f t="array" ref="I31">IF(F31 &gt;= H31,F31 * commission, 0)</f>
        <v>4442.2</v>
      </c>
    </row>
    <row r="32" spans="1:9">
      <c r="A32" s="5">
        <v>44287</v>
      </c>
      <c r="B32" s="4" t="s">
        <v>24</v>
      </c>
      <c r="C32" s="4" t="s">
        <v>25</v>
      </c>
      <c r="D32" s="4" t="s">
        <v>26</v>
      </c>
      <c r="E32" s="4" t="s">
        <v>4</v>
      </c>
      <c r="F32" s="6">
        <v>7029.9</v>
      </c>
      <c r="G32" s="4" t="s">
        <v>28</v>
      </c>
      <c r="H32" s="9">
        <v>15000</v>
      </c>
      <c r="I32" s="8" cm="1">
        <f t="array" ref="I32">IF(F32 &gt;= H32,F32 * commission, 0)</f>
        <v>0</v>
      </c>
    </row>
    <row r="33" spans="1:9">
      <c r="A33" s="5">
        <v>44287</v>
      </c>
      <c r="B33" s="4" t="s">
        <v>24</v>
      </c>
      <c r="C33" s="4" t="s">
        <v>25</v>
      </c>
      <c r="D33" s="4" t="s">
        <v>26</v>
      </c>
      <c r="E33" s="4" t="s">
        <v>4</v>
      </c>
      <c r="F33" s="6">
        <v>11914.400000000001</v>
      </c>
      <c r="G33" s="4" t="s">
        <v>22</v>
      </c>
      <c r="H33" s="9">
        <v>15000</v>
      </c>
      <c r="I33" s="8" cm="1">
        <f t="array" ref="I33">IF(F33 &gt;= H33,F33 * commission, 0)</f>
        <v>0</v>
      </c>
    </row>
    <row r="34" spans="1:9">
      <c r="A34" s="5">
        <v>44287</v>
      </c>
      <c r="B34" s="4" t="s">
        <v>29</v>
      </c>
      <c r="C34" s="4" t="s">
        <v>30</v>
      </c>
      <c r="D34" s="4" t="s">
        <v>31</v>
      </c>
      <c r="E34" s="4" t="s">
        <v>4</v>
      </c>
      <c r="F34" s="6">
        <v>15919.7</v>
      </c>
      <c r="G34" s="4" t="s">
        <v>27</v>
      </c>
      <c r="H34" s="9">
        <v>15000</v>
      </c>
      <c r="I34" s="8" cm="1">
        <f t="array" ref="I34">IF(F34 &gt;= H34,F34 * commission, 0)</f>
        <v>1591.9700000000003</v>
      </c>
    </row>
    <row r="35" spans="1:9">
      <c r="A35" s="5">
        <v>44287</v>
      </c>
      <c r="B35" s="4" t="s">
        <v>19</v>
      </c>
      <c r="C35" s="4" t="s">
        <v>20</v>
      </c>
      <c r="D35" s="4" t="s">
        <v>21</v>
      </c>
      <c r="E35" s="4" t="s">
        <v>4</v>
      </c>
      <c r="F35" s="6">
        <v>17776</v>
      </c>
      <c r="G35" s="4" t="s">
        <v>28</v>
      </c>
      <c r="H35" s="9">
        <v>15000</v>
      </c>
      <c r="I35" s="8" cm="1">
        <f t="array" ref="I35">IF(F35 &gt;= H35,F35 * commission, 0)</f>
        <v>1777.6000000000001</v>
      </c>
    </row>
    <row r="36" spans="1:9">
      <c r="A36" s="5">
        <v>44287</v>
      </c>
      <c r="B36" s="4" t="s">
        <v>65</v>
      </c>
      <c r="C36" s="4" t="s">
        <v>66</v>
      </c>
      <c r="D36" s="4" t="s">
        <v>67</v>
      </c>
      <c r="E36" s="4" t="s">
        <v>4</v>
      </c>
      <c r="F36" s="6">
        <v>36666</v>
      </c>
      <c r="G36" s="4" t="s">
        <v>22</v>
      </c>
      <c r="H36" s="9">
        <v>15000</v>
      </c>
      <c r="I36" s="8" cm="1">
        <f t="array" ref="I36">IF(F36 &gt;= H36,F36 * commission, 0)</f>
        <v>3666.6000000000004</v>
      </c>
    </row>
    <row r="37" spans="1:9">
      <c r="A37" s="5">
        <v>44287</v>
      </c>
      <c r="B37" s="4" t="s">
        <v>19</v>
      </c>
      <c r="C37" s="4" t="s">
        <v>20</v>
      </c>
      <c r="D37" s="4" t="s">
        <v>21</v>
      </c>
      <c r="E37" s="4" t="s">
        <v>4</v>
      </c>
      <c r="F37" s="6">
        <v>38227.699999999997</v>
      </c>
      <c r="G37" s="4" t="s">
        <v>27</v>
      </c>
      <c r="H37" s="9">
        <v>15000</v>
      </c>
      <c r="I37" s="8" cm="1">
        <f t="array" ref="I37">IF(F37 &gt;= H37,F37 * commission, 0)</f>
        <v>3822.77</v>
      </c>
    </row>
    <row r="38" spans="1:9">
      <c r="A38" s="5">
        <v>44287</v>
      </c>
      <c r="B38" s="4" t="s">
        <v>19</v>
      </c>
      <c r="C38" s="4" t="s">
        <v>20</v>
      </c>
      <c r="D38" s="4" t="s">
        <v>21</v>
      </c>
      <c r="E38" s="4" t="s">
        <v>4</v>
      </c>
      <c r="F38" s="6">
        <v>51531.199999999997</v>
      </c>
      <c r="G38" s="4" t="s">
        <v>28</v>
      </c>
      <c r="H38" s="9">
        <v>15000</v>
      </c>
      <c r="I38" s="8" cm="1">
        <f t="array" ref="I38">IF(F38 &gt;= H38,F38 * commission, 0)</f>
        <v>5153.12</v>
      </c>
    </row>
    <row r="39" spans="1:9">
      <c r="A39" s="5">
        <v>44317</v>
      </c>
      <c r="B39" s="4" t="s">
        <v>32</v>
      </c>
      <c r="C39" s="4" t="s">
        <v>33</v>
      </c>
      <c r="D39" s="4" t="s">
        <v>34</v>
      </c>
      <c r="E39" s="4" t="s">
        <v>4</v>
      </c>
      <c r="F39" s="6">
        <v>8686.6</v>
      </c>
      <c r="G39" s="4" t="s">
        <v>22</v>
      </c>
      <c r="H39" s="9">
        <v>15000</v>
      </c>
      <c r="I39" s="8" cm="1">
        <f t="array" ref="I39">IF(F39 &gt;= H39,F39 * commission, 0)</f>
        <v>0</v>
      </c>
    </row>
    <row r="40" spans="1:9">
      <c r="A40" s="5">
        <v>44317</v>
      </c>
      <c r="B40" s="4" t="s">
        <v>19</v>
      </c>
      <c r="C40" s="4" t="s">
        <v>20</v>
      </c>
      <c r="D40" s="4" t="s">
        <v>21</v>
      </c>
      <c r="E40" s="4" t="s">
        <v>4</v>
      </c>
      <c r="F40" s="6">
        <v>12422.2</v>
      </c>
      <c r="G40" s="4" t="s">
        <v>28</v>
      </c>
      <c r="H40" s="9">
        <v>15000</v>
      </c>
      <c r="I40" s="8" cm="1">
        <f t="array" ref="I40">IF(F40 &gt;= H40,F40 * commission, 0)</f>
        <v>0</v>
      </c>
    </row>
    <row r="41" spans="1:9">
      <c r="A41" s="5">
        <v>44317</v>
      </c>
      <c r="B41" s="4" t="s">
        <v>65</v>
      </c>
      <c r="C41" s="4" t="s">
        <v>66</v>
      </c>
      <c r="D41" s="4" t="s">
        <v>67</v>
      </c>
      <c r="E41" s="4" t="s">
        <v>4</v>
      </c>
      <c r="F41" s="6">
        <v>15120</v>
      </c>
      <c r="G41" s="4" t="s">
        <v>22</v>
      </c>
      <c r="H41" s="9">
        <v>15000</v>
      </c>
      <c r="I41" s="8" cm="1">
        <f t="array" ref="I41">IF(F41 &gt;= H41,F41 * commission, 0)</f>
        <v>1512</v>
      </c>
    </row>
    <row r="42" spans="1:9">
      <c r="A42" s="5">
        <v>44317</v>
      </c>
      <c r="B42" s="4" t="s">
        <v>32</v>
      </c>
      <c r="C42" s="4" t="s">
        <v>33</v>
      </c>
      <c r="D42" s="4" t="s">
        <v>34</v>
      </c>
      <c r="E42" s="4" t="s">
        <v>4</v>
      </c>
      <c r="F42" s="6">
        <v>16604.400000000001</v>
      </c>
      <c r="G42" s="4" t="s">
        <v>28</v>
      </c>
      <c r="H42" s="9">
        <v>15000</v>
      </c>
      <c r="I42" s="8" cm="1">
        <f t="array" ref="I42">IF(F42 &gt;= H42,F42 * commission, 0)</f>
        <v>1660.4400000000003</v>
      </c>
    </row>
    <row r="43" spans="1:9">
      <c r="A43" s="5">
        <v>44317</v>
      </c>
      <c r="B43" s="4" t="s">
        <v>19</v>
      </c>
      <c r="C43" s="4" t="s">
        <v>20</v>
      </c>
      <c r="D43" s="4" t="s">
        <v>21</v>
      </c>
      <c r="E43" s="4" t="s">
        <v>4</v>
      </c>
      <c r="F43" s="6">
        <v>19584</v>
      </c>
      <c r="G43" s="4" t="s">
        <v>22</v>
      </c>
      <c r="H43" s="9">
        <v>15000</v>
      </c>
      <c r="I43" s="8" cm="1">
        <f t="array" ref="I43">IF(F43 &gt;= H43,F43 * commission, 0)</f>
        <v>1958.4</v>
      </c>
    </row>
    <row r="44" spans="1:9">
      <c r="A44" s="5">
        <v>44317</v>
      </c>
      <c r="B44" s="4" t="s">
        <v>29</v>
      </c>
      <c r="C44" s="4" t="s">
        <v>30</v>
      </c>
      <c r="D44" s="4" t="s">
        <v>31</v>
      </c>
      <c r="E44" s="4" t="s">
        <v>4</v>
      </c>
      <c r="F44" s="6">
        <v>26546.6</v>
      </c>
      <c r="G44" s="4" t="s">
        <v>22</v>
      </c>
      <c r="H44" s="9">
        <v>15000</v>
      </c>
      <c r="I44" s="8" cm="1">
        <f t="array" ref="I44">IF(F44 &gt;= H44,F44 * commission, 0)</f>
        <v>2654.66</v>
      </c>
    </row>
    <row r="45" spans="1:9">
      <c r="A45" s="5">
        <v>44317</v>
      </c>
      <c r="B45" s="4" t="s">
        <v>29</v>
      </c>
      <c r="C45" s="4" t="s">
        <v>30</v>
      </c>
      <c r="D45" s="4" t="s">
        <v>31</v>
      </c>
      <c r="E45" s="4" t="s">
        <v>4</v>
      </c>
      <c r="F45" s="6">
        <v>31200</v>
      </c>
      <c r="G45" s="4" t="s">
        <v>22</v>
      </c>
      <c r="H45" s="9">
        <v>15000</v>
      </c>
      <c r="I45" s="8" cm="1">
        <f t="array" ref="I45">IF(F45 &gt;= H45,F45 * commission, 0)</f>
        <v>3120</v>
      </c>
    </row>
    <row r="46" spans="1:9">
      <c r="A46" s="5">
        <v>44348</v>
      </c>
      <c r="B46" s="4" t="s">
        <v>29</v>
      </c>
      <c r="C46" s="4" t="s">
        <v>30</v>
      </c>
      <c r="D46" s="4" t="s">
        <v>31</v>
      </c>
      <c r="E46" s="4" t="s">
        <v>4</v>
      </c>
      <c r="F46" s="6">
        <v>2070.2999999999997</v>
      </c>
      <c r="G46" s="4" t="s">
        <v>27</v>
      </c>
      <c r="H46" s="9">
        <v>15000</v>
      </c>
      <c r="I46" s="8" cm="1">
        <f t="array" ref="I46">IF(F46 &gt;= H46,F46 * commission, 0)</f>
        <v>0</v>
      </c>
    </row>
    <row r="47" spans="1:9">
      <c r="A47" s="5">
        <v>44348</v>
      </c>
      <c r="B47" s="4" t="s">
        <v>19</v>
      </c>
      <c r="C47" s="4" t="s">
        <v>20</v>
      </c>
      <c r="D47" s="4" t="s">
        <v>21</v>
      </c>
      <c r="E47" s="4" t="s">
        <v>4</v>
      </c>
      <c r="F47" s="6">
        <v>9499</v>
      </c>
      <c r="G47" s="4" t="s">
        <v>22</v>
      </c>
      <c r="H47" s="9">
        <v>15000</v>
      </c>
      <c r="I47" s="8" cm="1">
        <f t="array" ref="I47">IF(F47 &gt;= H47,F47 * commission, 0)</f>
        <v>0</v>
      </c>
    </row>
    <row r="48" spans="1:9">
      <c r="A48" s="5">
        <v>44348</v>
      </c>
      <c r="B48" s="4" t="s">
        <v>19</v>
      </c>
      <c r="C48" s="4" t="s">
        <v>20</v>
      </c>
      <c r="D48" s="4" t="s">
        <v>21</v>
      </c>
      <c r="E48" s="4" t="s">
        <v>4</v>
      </c>
      <c r="F48" s="6">
        <v>17904.7</v>
      </c>
      <c r="G48" s="4" t="s">
        <v>28</v>
      </c>
      <c r="H48" s="9">
        <v>15000</v>
      </c>
      <c r="I48" s="8" cm="1">
        <f t="array" ref="I48">IF(F48 &gt;= H48,F48 * commission, 0)</f>
        <v>1790.4700000000003</v>
      </c>
    </row>
    <row r="49" spans="1:9">
      <c r="A49" s="5">
        <v>44348</v>
      </c>
      <c r="B49" s="4" t="s">
        <v>19</v>
      </c>
      <c r="C49" s="4" t="s">
        <v>20</v>
      </c>
      <c r="D49" s="4" t="s">
        <v>21</v>
      </c>
      <c r="E49" s="4" t="s">
        <v>4</v>
      </c>
      <c r="F49" s="6">
        <v>18878.399999999998</v>
      </c>
      <c r="G49" s="4" t="s">
        <v>22</v>
      </c>
      <c r="H49" s="9">
        <v>15000</v>
      </c>
      <c r="I49" s="8" cm="1">
        <f t="array" ref="I49">IF(F49 &gt;= H49,F49 * commission, 0)</f>
        <v>1887.84</v>
      </c>
    </row>
    <row r="50" spans="1:9">
      <c r="A50" s="5">
        <v>44348</v>
      </c>
      <c r="B50" s="4" t="s">
        <v>19</v>
      </c>
      <c r="C50" s="4" t="s">
        <v>20</v>
      </c>
      <c r="D50" s="4" t="s">
        <v>21</v>
      </c>
      <c r="E50" s="4" t="s">
        <v>4</v>
      </c>
      <c r="F50" s="6">
        <v>23445</v>
      </c>
      <c r="G50" s="4" t="s">
        <v>22</v>
      </c>
      <c r="H50" s="9">
        <v>15000</v>
      </c>
      <c r="I50" s="8" cm="1">
        <f t="array" ref="I50">IF(F50 &gt;= H50,F50 * commission, 0)</f>
        <v>2344.5</v>
      </c>
    </row>
    <row r="51" spans="1:9">
      <c r="A51" s="5">
        <v>44348</v>
      </c>
      <c r="B51" s="4" t="s">
        <v>19</v>
      </c>
      <c r="C51" s="4" t="s">
        <v>20</v>
      </c>
      <c r="D51" s="4" t="s">
        <v>21</v>
      </c>
      <c r="E51" s="4" t="s">
        <v>4</v>
      </c>
      <c r="F51" s="6">
        <v>34162</v>
      </c>
      <c r="G51" s="4" t="s">
        <v>22</v>
      </c>
      <c r="H51" s="9">
        <v>15000</v>
      </c>
      <c r="I51" s="8" cm="1">
        <f t="array" ref="I51">IF(F51 &gt;= H51,F51 * commission, 0)</f>
        <v>3416.2000000000003</v>
      </c>
    </row>
    <row r="52" spans="1:9">
      <c r="A52" s="5">
        <v>44378</v>
      </c>
      <c r="B52" s="4" t="s">
        <v>19</v>
      </c>
      <c r="C52" s="4" t="s">
        <v>20</v>
      </c>
      <c r="D52" s="4" t="s">
        <v>21</v>
      </c>
      <c r="E52" s="4" t="s">
        <v>4</v>
      </c>
      <c r="F52" s="6">
        <v>3055.2</v>
      </c>
      <c r="G52" s="4" t="s">
        <v>27</v>
      </c>
      <c r="H52" s="9">
        <v>15000</v>
      </c>
      <c r="I52" s="8" cm="1">
        <f t="array" ref="I52">IF(F52 &gt;= H52,F52 * commission, 0)</f>
        <v>0</v>
      </c>
    </row>
    <row r="53" spans="1:9">
      <c r="A53" s="5">
        <v>44378</v>
      </c>
      <c r="B53" s="4" t="s">
        <v>29</v>
      </c>
      <c r="C53" s="4" t="s">
        <v>30</v>
      </c>
      <c r="D53" s="4" t="s">
        <v>31</v>
      </c>
      <c r="E53" s="4" t="s">
        <v>4</v>
      </c>
      <c r="F53" s="6">
        <v>4843.4000000000005</v>
      </c>
      <c r="G53" s="4" t="s">
        <v>28</v>
      </c>
      <c r="H53" s="9">
        <v>15000</v>
      </c>
      <c r="I53" s="8" cm="1">
        <f t="array" ref="I53">IF(F53 &gt;= H53,F53 * commission, 0)</f>
        <v>0</v>
      </c>
    </row>
    <row r="54" spans="1:9">
      <c r="A54" s="5">
        <v>44378</v>
      </c>
      <c r="B54" s="4" t="s">
        <v>32</v>
      </c>
      <c r="C54" s="4" t="s">
        <v>33</v>
      </c>
      <c r="D54" s="4" t="s">
        <v>34</v>
      </c>
      <c r="E54" s="4" t="s">
        <v>4</v>
      </c>
      <c r="F54" s="6">
        <v>5215.2</v>
      </c>
      <c r="G54" s="4" t="s">
        <v>28</v>
      </c>
      <c r="H54" s="9">
        <v>15000</v>
      </c>
      <c r="I54" s="8" cm="1">
        <f t="array" ref="I54">IF(F54 &gt;= H54,F54 * commission, 0)</f>
        <v>0</v>
      </c>
    </row>
    <row r="55" spans="1:9">
      <c r="A55" s="5">
        <v>44378</v>
      </c>
      <c r="B55" s="4" t="s">
        <v>19</v>
      </c>
      <c r="C55" s="4" t="s">
        <v>20</v>
      </c>
      <c r="D55" s="4" t="s">
        <v>21</v>
      </c>
      <c r="E55" s="4" t="s">
        <v>4</v>
      </c>
      <c r="F55" s="6">
        <v>7199.7000000000007</v>
      </c>
      <c r="G55" s="4" t="s">
        <v>28</v>
      </c>
      <c r="H55" s="9">
        <v>15000</v>
      </c>
      <c r="I55" s="8" cm="1">
        <f t="array" ref="I55">IF(F55 &gt;= H55,F55 * commission, 0)</f>
        <v>0</v>
      </c>
    </row>
    <row r="56" spans="1:9">
      <c r="A56" s="5">
        <v>44378</v>
      </c>
      <c r="B56" s="4" t="s">
        <v>24</v>
      </c>
      <c r="C56" s="4" t="s">
        <v>25</v>
      </c>
      <c r="D56" s="4" t="s">
        <v>26</v>
      </c>
      <c r="E56" s="4" t="s">
        <v>4</v>
      </c>
      <c r="F56" s="6">
        <v>14670</v>
      </c>
      <c r="G56" s="4" t="s">
        <v>27</v>
      </c>
      <c r="H56" s="9">
        <v>15000</v>
      </c>
      <c r="I56" s="8" cm="1">
        <f t="array" ref="I56">IF(F56 &gt;= H56,F56 * commission, 0)</f>
        <v>0</v>
      </c>
    </row>
    <row r="57" spans="1:9">
      <c r="A57" s="5">
        <v>44378</v>
      </c>
      <c r="B57" s="4" t="s">
        <v>29</v>
      </c>
      <c r="C57" s="4" t="s">
        <v>30</v>
      </c>
      <c r="D57" s="4" t="s">
        <v>31</v>
      </c>
      <c r="E57" s="4" t="s">
        <v>4</v>
      </c>
      <c r="F57" s="6">
        <v>16614.400000000001</v>
      </c>
      <c r="G57" s="4" t="s">
        <v>27</v>
      </c>
      <c r="H57" s="9">
        <v>15000</v>
      </c>
      <c r="I57" s="8" cm="1">
        <f t="array" ref="I57">IF(F57 &gt;= H57,F57 * commission, 0)</f>
        <v>1661.4400000000003</v>
      </c>
    </row>
    <row r="58" spans="1:9">
      <c r="A58" s="5">
        <v>44378</v>
      </c>
      <c r="B58" s="4" t="s">
        <v>24</v>
      </c>
      <c r="C58" s="4" t="s">
        <v>25</v>
      </c>
      <c r="D58" s="4" t="s">
        <v>26</v>
      </c>
      <c r="E58" s="4" t="s">
        <v>4</v>
      </c>
      <c r="F58" s="6">
        <v>20076.7</v>
      </c>
      <c r="G58" s="4" t="s">
        <v>28</v>
      </c>
      <c r="H58" s="9">
        <v>15000</v>
      </c>
      <c r="I58" s="8" cm="1">
        <f t="array" ref="I58">IF(F58 &gt;= H58,F58 * commission, 0)</f>
        <v>2007.67</v>
      </c>
    </row>
    <row r="59" spans="1:9">
      <c r="A59" s="5">
        <v>44378</v>
      </c>
      <c r="B59" s="4" t="s">
        <v>19</v>
      </c>
      <c r="C59" s="4" t="s">
        <v>20</v>
      </c>
      <c r="D59" s="4" t="s">
        <v>21</v>
      </c>
      <c r="E59" s="4" t="s">
        <v>4</v>
      </c>
      <c r="F59" s="6">
        <v>21482.999999999996</v>
      </c>
      <c r="G59" s="4" t="s">
        <v>28</v>
      </c>
      <c r="H59" s="9">
        <v>15000</v>
      </c>
      <c r="I59" s="8" cm="1">
        <f t="array" ref="I59">IF(F59 &gt;= H59,F59 * commission, 0)</f>
        <v>2148.2999999999997</v>
      </c>
    </row>
    <row r="60" spans="1:9">
      <c r="A60" s="5">
        <v>44378</v>
      </c>
      <c r="B60" s="4" t="s">
        <v>65</v>
      </c>
      <c r="C60" s="4" t="s">
        <v>66</v>
      </c>
      <c r="D60" s="4" t="s">
        <v>67</v>
      </c>
      <c r="E60" s="4" t="s">
        <v>4</v>
      </c>
      <c r="F60" s="6">
        <v>30776.799999999999</v>
      </c>
      <c r="G60" s="4" t="s">
        <v>27</v>
      </c>
      <c r="H60" s="9">
        <v>15000</v>
      </c>
      <c r="I60" s="8" cm="1">
        <f t="array" ref="I60">IF(F60 &gt;= H60,F60 * commission, 0)</f>
        <v>3077.6800000000003</v>
      </c>
    </row>
    <row r="61" spans="1:9">
      <c r="A61" s="5">
        <v>44409</v>
      </c>
      <c r="B61" s="4" t="s">
        <v>24</v>
      </c>
      <c r="C61" s="4" t="s">
        <v>25</v>
      </c>
      <c r="D61" s="4" t="s">
        <v>26</v>
      </c>
      <c r="E61" s="4" t="s">
        <v>4</v>
      </c>
      <c r="F61" s="6">
        <v>8625</v>
      </c>
      <c r="G61" s="4" t="s">
        <v>22</v>
      </c>
      <c r="H61" s="9">
        <v>15000</v>
      </c>
      <c r="I61" s="8" cm="1">
        <f t="array" ref="I61">IF(F61 &gt;= H61,F61 * commission, 0)</f>
        <v>0</v>
      </c>
    </row>
    <row r="62" spans="1:9">
      <c r="A62" s="5">
        <v>44409</v>
      </c>
      <c r="B62" s="4" t="s">
        <v>19</v>
      </c>
      <c r="C62" s="4" t="s">
        <v>20</v>
      </c>
      <c r="D62" s="4" t="s">
        <v>21</v>
      </c>
      <c r="E62" s="4" t="s">
        <v>4</v>
      </c>
      <c r="F62" s="6">
        <v>9794</v>
      </c>
      <c r="G62" s="4" t="s">
        <v>22</v>
      </c>
      <c r="H62" s="9">
        <v>15000</v>
      </c>
      <c r="I62" s="8" cm="1">
        <f t="array" ref="I62">IF(F62 &gt;= H62,F62 * commission, 0)</f>
        <v>0</v>
      </c>
    </row>
    <row r="63" spans="1:9">
      <c r="A63" s="5">
        <v>44409</v>
      </c>
      <c r="B63" s="4" t="s">
        <v>24</v>
      </c>
      <c r="C63" s="4" t="s">
        <v>25</v>
      </c>
      <c r="D63" s="4" t="s">
        <v>26</v>
      </c>
      <c r="E63" s="4" t="s">
        <v>4</v>
      </c>
      <c r="F63" s="6">
        <v>16321.6</v>
      </c>
      <c r="G63" s="4" t="s">
        <v>27</v>
      </c>
      <c r="H63" s="9">
        <v>15000</v>
      </c>
      <c r="I63" s="8" cm="1">
        <f t="array" ref="I63">IF(F63 &gt;= H63,F63 * commission, 0)</f>
        <v>1632.16</v>
      </c>
    </row>
    <row r="64" spans="1:9">
      <c r="A64" s="5">
        <v>44409</v>
      </c>
      <c r="B64" s="4" t="s">
        <v>19</v>
      </c>
      <c r="C64" s="4" t="s">
        <v>20</v>
      </c>
      <c r="D64" s="4" t="s">
        <v>21</v>
      </c>
      <c r="E64" s="4" t="s">
        <v>4</v>
      </c>
      <c r="F64" s="6">
        <v>19678.8</v>
      </c>
      <c r="G64" s="4" t="s">
        <v>22</v>
      </c>
      <c r="H64" s="9">
        <v>15000</v>
      </c>
      <c r="I64" s="8" cm="1">
        <f t="array" ref="I64">IF(F64 &gt;= H64,F64 * commission, 0)</f>
        <v>1967.88</v>
      </c>
    </row>
    <row r="65" spans="1:9">
      <c r="A65" s="5">
        <v>44409</v>
      </c>
      <c r="B65" s="4" t="s">
        <v>24</v>
      </c>
      <c r="C65" s="4" t="s">
        <v>25</v>
      </c>
      <c r="D65" s="4" t="s">
        <v>26</v>
      </c>
      <c r="E65" s="4" t="s">
        <v>4</v>
      </c>
      <c r="F65" s="6">
        <v>33694.800000000003</v>
      </c>
      <c r="G65" s="4" t="s">
        <v>22</v>
      </c>
      <c r="H65" s="9">
        <v>15000</v>
      </c>
      <c r="I65" s="8" cm="1">
        <f t="array" ref="I65">IF(F65 &gt;= H65,F65 * commission, 0)</f>
        <v>3369.4800000000005</v>
      </c>
    </row>
    <row r="66" spans="1:9">
      <c r="A66" s="5">
        <v>44409</v>
      </c>
      <c r="B66" s="4" t="s">
        <v>32</v>
      </c>
      <c r="C66" s="4" t="s">
        <v>33</v>
      </c>
      <c r="D66" s="4" t="s">
        <v>34</v>
      </c>
      <c r="E66" s="4" t="s">
        <v>4</v>
      </c>
      <c r="F66" s="6">
        <v>39236</v>
      </c>
      <c r="G66" s="4" t="s">
        <v>28</v>
      </c>
      <c r="H66" s="9">
        <v>15000</v>
      </c>
      <c r="I66" s="8" cm="1">
        <f t="array" ref="I66">IF(F66 &gt;= H66,F66 * commission, 0)</f>
        <v>3923.6000000000004</v>
      </c>
    </row>
    <row r="67" spans="1:9">
      <c r="A67" s="5">
        <v>44409</v>
      </c>
      <c r="B67" s="4" t="s">
        <v>19</v>
      </c>
      <c r="C67" s="4" t="s">
        <v>20</v>
      </c>
      <c r="D67" s="4" t="s">
        <v>21</v>
      </c>
      <c r="E67" s="4" t="s">
        <v>4</v>
      </c>
      <c r="F67" s="6">
        <v>43088.2</v>
      </c>
      <c r="G67" s="4" t="s">
        <v>27</v>
      </c>
      <c r="H67" s="9">
        <v>15000</v>
      </c>
      <c r="I67" s="8" cm="1">
        <f t="array" ref="I67">IF(F67 &gt;= H67,F67 * commission, 0)</f>
        <v>4308.82</v>
      </c>
    </row>
    <row r="68" spans="1:9">
      <c r="A68" s="5">
        <v>44440</v>
      </c>
      <c r="B68" s="4" t="s">
        <v>29</v>
      </c>
      <c r="C68" s="4" t="s">
        <v>30</v>
      </c>
      <c r="D68" s="4" t="s">
        <v>31</v>
      </c>
      <c r="E68" s="4" t="s">
        <v>4</v>
      </c>
      <c r="F68" s="6">
        <v>5572.3</v>
      </c>
      <c r="G68" s="4" t="s">
        <v>27</v>
      </c>
      <c r="H68" s="9">
        <v>15000</v>
      </c>
      <c r="I68" s="8" cm="1">
        <f t="array" ref="I68">IF(F68 &gt;= H68,F68 * commission, 0)</f>
        <v>0</v>
      </c>
    </row>
    <row r="69" spans="1:9">
      <c r="A69" s="5">
        <v>44440</v>
      </c>
      <c r="B69" s="4" t="s">
        <v>19</v>
      </c>
      <c r="C69" s="4" t="s">
        <v>20</v>
      </c>
      <c r="D69" s="4" t="s">
        <v>21</v>
      </c>
      <c r="E69" s="4" t="s">
        <v>4</v>
      </c>
      <c r="F69" s="6">
        <v>7496.9999999999991</v>
      </c>
      <c r="G69" s="4" t="s">
        <v>22</v>
      </c>
      <c r="H69" s="9">
        <v>15000</v>
      </c>
      <c r="I69" s="8" cm="1">
        <f t="array" ref="I69">IF(F69 &gt;= H69,F69 * commission, 0)</f>
        <v>0</v>
      </c>
    </row>
    <row r="70" spans="1:9">
      <c r="A70" s="5">
        <v>44440</v>
      </c>
      <c r="B70" s="4" t="s">
        <v>32</v>
      </c>
      <c r="C70" s="4" t="s">
        <v>33</v>
      </c>
      <c r="D70" s="4" t="s">
        <v>34</v>
      </c>
      <c r="E70" s="4" t="s">
        <v>4</v>
      </c>
      <c r="F70" s="6">
        <v>9651.1999999999989</v>
      </c>
      <c r="G70" s="4" t="s">
        <v>27</v>
      </c>
      <c r="H70" s="9">
        <v>15000</v>
      </c>
      <c r="I70" s="8" cm="1">
        <f t="array" ref="I70">IF(F70 &gt;= H70,F70 * commission, 0)</f>
        <v>0</v>
      </c>
    </row>
    <row r="71" spans="1:9">
      <c r="A71" s="5">
        <v>44440</v>
      </c>
      <c r="B71" s="4" t="s">
        <v>29</v>
      </c>
      <c r="C71" s="4" t="s">
        <v>30</v>
      </c>
      <c r="D71" s="4" t="s">
        <v>31</v>
      </c>
      <c r="E71" s="4" t="s">
        <v>4</v>
      </c>
      <c r="F71" s="6">
        <v>10492.199999999997</v>
      </c>
      <c r="G71" s="4" t="s">
        <v>28</v>
      </c>
      <c r="H71" s="9">
        <v>15000</v>
      </c>
      <c r="I71" s="8" cm="1">
        <f t="array" ref="I71">IF(F71 &gt;= H71,F71 * commission, 0)</f>
        <v>0</v>
      </c>
    </row>
    <row r="72" spans="1:9">
      <c r="A72" s="5">
        <v>44440</v>
      </c>
      <c r="B72" s="4" t="s">
        <v>29</v>
      </c>
      <c r="C72" s="4" t="s">
        <v>30</v>
      </c>
      <c r="D72" s="4" t="s">
        <v>31</v>
      </c>
      <c r="E72" s="4" t="s">
        <v>4</v>
      </c>
      <c r="F72" s="6">
        <v>18396.7</v>
      </c>
      <c r="G72" s="4" t="s">
        <v>27</v>
      </c>
      <c r="H72" s="9">
        <v>15000</v>
      </c>
      <c r="I72" s="8" cm="1">
        <f t="array" ref="I72">IF(F72 &gt;= H72,F72 * commission, 0)</f>
        <v>1839.67</v>
      </c>
    </row>
    <row r="73" spans="1:9">
      <c r="A73" s="5">
        <v>44440</v>
      </c>
      <c r="B73" s="4" t="s">
        <v>32</v>
      </c>
      <c r="C73" s="4" t="s">
        <v>33</v>
      </c>
      <c r="D73" s="4" t="s">
        <v>34</v>
      </c>
      <c r="E73" s="4" t="s">
        <v>4</v>
      </c>
      <c r="F73" s="6">
        <v>23849.599999999999</v>
      </c>
      <c r="G73" s="4" t="s">
        <v>27</v>
      </c>
      <c r="H73" s="9">
        <v>15000</v>
      </c>
      <c r="I73" s="8" cm="1">
        <f t="array" ref="I73">IF(F73 &gt;= H73,F73 * commission, 0)</f>
        <v>2384.96</v>
      </c>
    </row>
    <row r="74" spans="1:9">
      <c r="A74" s="5">
        <v>44440</v>
      </c>
      <c r="B74" s="4" t="s">
        <v>24</v>
      </c>
      <c r="C74" s="4" t="s">
        <v>25</v>
      </c>
      <c r="D74" s="4" t="s">
        <v>26</v>
      </c>
      <c r="E74" s="4" t="s">
        <v>4</v>
      </c>
      <c r="F74" s="6">
        <v>23882.399999999998</v>
      </c>
      <c r="G74" s="4" t="s">
        <v>28</v>
      </c>
      <c r="H74" s="9">
        <v>15000</v>
      </c>
      <c r="I74" s="8" cm="1">
        <f t="array" ref="I74">IF(F74 &gt;= H74,F74 * commission, 0)</f>
        <v>2388.2399999999998</v>
      </c>
    </row>
    <row r="75" spans="1:9">
      <c r="A75" s="5">
        <v>44440</v>
      </c>
      <c r="B75" s="4" t="s">
        <v>32</v>
      </c>
      <c r="C75" s="4" t="s">
        <v>33</v>
      </c>
      <c r="D75" s="4" t="s">
        <v>34</v>
      </c>
      <c r="E75" s="4" t="s">
        <v>4</v>
      </c>
      <c r="F75" s="6">
        <v>34041.300000000003</v>
      </c>
      <c r="G75" s="4" t="s">
        <v>28</v>
      </c>
      <c r="H75" s="9">
        <v>15000</v>
      </c>
      <c r="I75" s="8" cm="1">
        <f t="array" ref="I75">IF(F75 &gt;= H75,F75 * commission, 0)</f>
        <v>3404.1300000000006</v>
      </c>
    </row>
    <row r="76" spans="1:9">
      <c r="A76" s="5">
        <v>44470</v>
      </c>
      <c r="B76" s="4" t="s">
        <v>65</v>
      </c>
      <c r="C76" s="4" t="s">
        <v>66</v>
      </c>
      <c r="D76" s="4" t="s">
        <v>67</v>
      </c>
      <c r="E76" s="4" t="s">
        <v>4</v>
      </c>
      <c r="F76" s="6">
        <v>3243.6000000000004</v>
      </c>
      <c r="G76" s="4" t="s">
        <v>27</v>
      </c>
      <c r="H76" s="9">
        <v>15000</v>
      </c>
      <c r="I76" s="8" cm="1">
        <f t="array" ref="I76">IF(F76 &gt;= H76,F76 * commission, 0)</f>
        <v>0</v>
      </c>
    </row>
    <row r="77" spans="1:9">
      <c r="A77" s="5">
        <v>44470</v>
      </c>
      <c r="B77" s="4" t="s">
        <v>19</v>
      </c>
      <c r="C77" s="4" t="s">
        <v>20</v>
      </c>
      <c r="D77" s="4" t="s">
        <v>21</v>
      </c>
      <c r="E77" s="4" t="s">
        <v>4</v>
      </c>
      <c r="F77" s="6">
        <v>12633.599999999999</v>
      </c>
      <c r="G77" s="4" t="s">
        <v>22</v>
      </c>
      <c r="H77" s="9">
        <v>15000</v>
      </c>
      <c r="I77" s="8" cm="1">
        <f t="array" ref="I77">IF(F77 &gt;= H77,F77 * commission, 0)</f>
        <v>0</v>
      </c>
    </row>
    <row r="78" spans="1:9">
      <c r="A78" s="5">
        <v>44470</v>
      </c>
      <c r="B78" s="4" t="s">
        <v>65</v>
      </c>
      <c r="C78" s="4" t="s">
        <v>66</v>
      </c>
      <c r="D78" s="4" t="s">
        <v>67</v>
      </c>
      <c r="E78" s="4" t="s">
        <v>4</v>
      </c>
      <c r="F78" s="6">
        <v>12806.399999999998</v>
      </c>
      <c r="G78" s="4" t="s">
        <v>28</v>
      </c>
      <c r="H78" s="9">
        <v>15000</v>
      </c>
      <c r="I78" s="8" cm="1">
        <f t="array" ref="I78">IF(F78 &gt;= H78,F78 * commission, 0)</f>
        <v>0</v>
      </c>
    </row>
    <row r="79" spans="1:9">
      <c r="A79" s="5">
        <v>44470</v>
      </c>
      <c r="B79" s="4" t="s">
        <v>32</v>
      </c>
      <c r="C79" s="4" t="s">
        <v>33</v>
      </c>
      <c r="D79" s="4" t="s">
        <v>34</v>
      </c>
      <c r="E79" s="4" t="s">
        <v>4</v>
      </c>
      <c r="F79" s="6">
        <v>20031.199999999997</v>
      </c>
      <c r="G79" s="4" t="s">
        <v>28</v>
      </c>
      <c r="H79" s="9">
        <v>15000</v>
      </c>
      <c r="I79" s="8" cm="1">
        <f t="array" ref="I79">IF(F79 &gt;= H79,F79 * commission, 0)</f>
        <v>2003.12</v>
      </c>
    </row>
    <row r="80" spans="1:9">
      <c r="A80" s="5">
        <v>44470</v>
      </c>
      <c r="B80" s="4" t="s">
        <v>29</v>
      </c>
      <c r="C80" s="4" t="s">
        <v>30</v>
      </c>
      <c r="D80" s="4" t="s">
        <v>31</v>
      </c>
      <c r="E80" s="4" t="s">
        <v>4</v>
      </c>
      <c r="F80" s="6">
        <v>21485.200000000001</v>
      </c>
      <c r="G80" s="4" t="s">
        <v>22</v>
      </c>
      <c r="H80" s="9">
        <v>15000</v>
      </c>
      <c r="I80" s="8" cm="1">
        <f t="array" ref="I80">IF(F80 &gt;= H80,F80 * commission, 0)</f>
        <v>2148.52</v>
      </c>
    </row>
    <row r="81" spans="1:9">
      <c r="A81" s="5">
        <v>44470</v>
      </c>
      <c r="B81" s="4" t="s">
        <v>24</v>
      </c>
      <c r="C81" s="4" t="s">
        <v>25</v>
      </c>
      <c r="D81" s="4" t="s">
        <v>26</v>
      </c>
      <c r="E81" s="4" t="s">
        <v>4</v>
      </c>
      <c r="F81" s="6">
        <v>22607.200000000004</v>
      </c>
      <c r="G81" s="4" t="s">
        <v>27</v>
      </c>
      <c r="H81" s="9">
        <v>15000</v>
      </c>
      <c r="I81" s="8" cm="1">
        <f t="array" ref="I81">IF(F81 &gt;= H81,F81 * commission, 0)</f>
        <v>2260.7200000000007</v>
      </c>
    </row>
    <row r="82" spans="1:9">
      <c r="A82" s="5">
        <v>44501</v>
      </c>
      <c r="B82" s="4" t="s">
        <v>32</v>
      </c>
      <c r="C82" s="4" t="s">
        <v>33</v>
      </c>
      <c r="D82" s="4" t="s">
        <v>34</v>
      </c>
      <c r="E82" s="4" t="s">
        <v>4</v>
      </c>
      <c r="F82" s="6">
        <v>5130</v>
      </c>
      <c r="G82" s="4" t="s">
        <v>22</v>
      </c>
      <c r="H82" s="9">
        <v>15000</v>
      </c>
      <c r="I82" s="8" cm="1">
        <f t="array" ref="I82">IF(F82 &gt;= H82,F82 * commission, 0)</f>
        <v>0</v>
      </c>
    </row>
    <row r="83" spans="1:9">
      <c r="A83" s="5">
        <v>44501</v>
      </c>
      <c r="B83" s="4" t="s">
        <v>29</v>
      </c>
      <c r="C83" s="4" t="s">
        <v>30</v>
      </c>
      <c r="D83" s="4" t="s">
        <v>31</v>
      </c>
      <c r="E83" s="4" t="s">
        <v>4</v>
      </c>
      <c r="F83" s="6">
        <v>8810.9</v>
      </c>
      <c r="G83" s="4" t="s">
        <v>27</v>
      </c>
      <c r="H83" s="9">
        <v>15000</v>
      </c>
      <c r="I83" s="8" cm="1">
        <f t="array" ref="I83">IF(F83 &gt;= H83,F83 * commission, 0)</f>
        <v>0</v>
      </c>
    </row>
    <row r="84" spans="1:9">
      <c r="A84" s="5">
        <v>44501</v>
      </c>
      <c r="B84" s="4" t="s">
        <v>65</v>
      </c>
      <c r="C84" s="4" t="s">
        <v>66</v>
      </c>
      <c r="D84" s="4" t="s">
        <v>67</v>
      </c>
      <c r="E84" s="4" t="s">
        <v>4</v>
      </c>
      <c r="F84" s="6">
        <v>16606</v>
      </c>
      <c r="G84" s="4" t="s">
        <v>27</v>
      </c>
      <c r="H84" s="9">
        <v>15000</v>
      </c>
      <c r="I84" s="8" cm="1">
        <f t="array" ref="I84">IF(F84 &gt;= H84,F84 * commission, 0)</f>
        <v>1660.6000000000001</v>
      </c>
    </row>
    <row r="85" spans="1:9">
      <c r="A85" s="5">
        <v>44501</v>
      </c>
      <c r="B85" s="4" t="s">
        <v>32</v>
      </c>
      <c r="C85" s="4" t="s">
        <v>33</v>
      </c>
      <c r="D85" s="4" t="s">
        <v>34</v>
      </c>
      <c r="E85" s="4" t="s">
        <v>4</v>
      </c>
      <c r="F85" s="6">
        <v>17766</v>
      </c>
      <c r="G85" s="4" t="s">
        <v>27</v>
      </c>
      <c r="H85" s="9">
        <v>15000</v>
      </c>
      <c r="I85" s="8" cm="1">
        <f t="array" ref="I85">IF(F85 &gt;= H85,F85 * commission, 0)</f>
        <v>1776.6000000000001</v>
      </c>
    </row>
    <row r="86" spans="1:9">
      <c r="A86" s="5">
        <v>44501</v>
      </c>
      <c r="B86" s="4" t="s">
        <v>19</v>
      </c>
      <c r="C86" s="4" t="s">
        <v>20</v>
      </c>
      <c r="D86" s="4" t="s">
        <v>21</v>
      </c>
      <c r="E86" s="4" t="s">
        <v>4</v>
      </c>
      <c r="F86" s="6">
        <v>20916</v>
      </c>
      <c r="G86" s="4" t="s">
        <v>27</v>
      </c>
      <c r="H86" s="9">
        <v>15000</v>
      </c>
      <c r="I86" s="8" cm="1">
        <f t="array" ref="I86">IF(F86 &gt;= H86,F86 * commission, 0)</f>
        <v>2091.6</v>
      </c>
    </row>
    <row r="87" spans="1:9">
      <c r="A87" s="5">
        <v>44501</v>
      </c>
      <c r="B87" s="4" t="s">
        <v>19</v>
      </c>
      <c r="C87" s="4" t="s">
        <v>20</v>
      </c>
      <c r="D87" s="4" t="s">
        <v>21</v>
      </c>
      <c r="E87" s="4" t="s">
        <v>4</v>
      </c>
      <c r="F87" s="6">
        <v>22396.5</v>
      </c>
      <c r="G87" s="4" t="s">
        <v>28</v>
      </c>
      <c r="H87" s="9">
        <v>15000</v>
      </c>
      <c r="I87" s="8" cm="1">
        <f t="array" ref="I87">IF(F87 &gt;= H87,F87 * commission, 0)</f>
        <v>2239.65</v>
      </c>
    </row>
    <row r="88" spans="1:9">
      <c r="A88" s="5">
        <v>44501</v>
      </c>
      <c r="B88" s="4" t="s">
        <v>32</v>
      </c>
      <c r="C88" s="4" t="s">
        <v>33</v>
      </c>
      <c r="D88" s="4" t="s">
        <v>34</v>
      </c>
      <c r="E88" s="4" t="s">
        <v>4</v>
      </c>
      <c r="F88" s="6">
        <v>25633.5</v>
      </c>
      <c r="G88" s="4" t="s">
        <v>22</v>
      </c>
      <c r="H88" s="9">
        <v>15000</v>
      </c>
      <c r="I88" s="8" cm="1">
        <f t="array" ref="I88">IF(F88 &gt;= H88,F88 * commission, 0)</f>
        <v>2563.3500000000004</v>
      </c>
    </row>
    <row r="89" spans="1:9">
      <c r="A89" s="5">
        <v>44501</v>
      </c>
      <c r="B89" s="4" t="s">
        <v>19</v>
      </c>
      <c r="C89" s="4" t="s">
        <v>20</v>
      </c>
      <c r="D89" s="4" t="s">
        <v>21</v>
      </c>
      <c r="E89" s="4" t="s">
        <v>4</v>
      </c>
      <c r="F89" s="6">
        <v>37374.399999999994</v>
      </c>
      <c r="G89" s="4" t="s">
        <v>28</v>
      </c>
      <c r="H89" s="9">
        <v>15000</v>
      </c>
      <c r="I89" s="8" cm="1">
        <f t="array" ref="I89">IF(F89 &gt;= H89,F89 * commission, 0)</f>
        <v>3737.4399999999996</v>
      </c>
    </row>
    <row r="90" spans="1:9">
      <c r="A90" s="5">
        <v>44531</v>
      </c>
      <c r="B90" s="4" t="s">
        <v>32</v>
      </c>
      <c r="C90" s="4" t="s">
        <v>33</v>
      </c>
      <c r="D90" s="4" t="s">
        <v>34</v>
      </c>
      <c r="E90" s="4" t="s">
        <v>4</v>
      </c>
      <c r="F90" s="6">
        <v>3817.9999999999995</v>
      </c>
      <c r="G90" s="4" t="s">
        <v>27</v>
      </c>
      <c r="H90" s="9">
        <v>15000</v>
      </c>
      <c r="I90" s="8" cm="1">
        <f t="array" ref="I90">IF(F90 &gt;= H90,F90 * commission, 0)</f>
        <v>0</v>
      </c>
    </row>
    <row r="91" spans="1:9">
      <c r="A91" s="5">
        <v>44531</v>
      </c>
      <c r="B91" s="4" t="s">
        <v>19</v>
      </c>
      <c r="C91" s="4" t="s">
        <v>20</v>
      </c>
      <c r="D91" s="4" t="s">
        <v>21</v>
      </c>
      <c r="E91" s="4" t="s">
        <v>4</v>
      </c>
      <c r="F91" s="6">
        <v>8683.1999999999989</v>
      </c>
      <c r="G91" s="4" t="s">
        <v>22</v>
      </c>
      <c r="H91" s="9">
        <v>15000</v>
      </c>
      <c r="I91" s="8" cm="1">
        <f t="array" ref="I91">IF(F91 &gt;= H91,F91 * commission, 0)</f>
        <v>0</v>
      </c>
    </row>
    <row r="92" spans="1:9">
      <c r="A92" s="5">
        <v>44531</v>
      </c>
      <c r="B92" s="4" t="s">
        <v>29</v>
      </c>
      <c r="C92" s="4" t="s">
        <v>30</v>
      </c>
      <c r="D92" s="4" t="s">
        <v>31</v>
      </c>
      <c r="E92" s="4" t="s">
        <v>4</v>
      </c>
      <c r="F92" s="6">
        <v>11210</v>
      </c>
      <c r="G92" s="4" t="s">
        <v>28</v>
      </c>
      <c r="H92" s="9">
        <v>15000</v>
      </c>
      <c r="I92" s="8" cm="1">
        <f t="array" ref="I92">IF(F92 &gt;= H92,F92 * commission, 0)</f>
        <v>0</v>
      </c>
    </row>
    <row r="93" spans="1:9">
      <c r="A93" s="5">
        <v>44531</v>
      </c>
      <c r="B93" s="4" t="s">
        <v>65</v>
      </c>
      <c r="C93" s="4" t="s">
        <v>66</v>
      </c>
      <c r="D93" s="4" t="s">
        <v>67</v>
      </c>
      <c r="E93" s="4" t="s">
        <v>4</v>
      </c>
      <c r="F93" s="6">
        <v>12765.2</v>
      </c>
      <c r="G93" s="4" t="s">
        <v>28</v>
      </c>
      <c r="H93" s="9">
        <v>15000</v>
      </c>
      <c r="I93" s="8" cm="1">
        <f t="array" ref="I93">IF(F93 &gt;= H93,F93 * commission, 0)</f>
        <v>0</v>
      </c>
    </row>
    <row r="94" spans="1:9">
      <c r="A94" s="5">
        <v>44531</v>
      </c>
      <c r="B94" s="4" t="s">
        <v>32</v>
      </c>
      <c r="C94" s="4" t="s">
        <v>33</v>
      </c>
      <c r="D94" s="4" t="s">
        <v>34</v>
      </c>
      <c r="E94" s="4" t="s">
        <v>4</v>
      </c>
      <c r="F94" s="6">
        <v>15921.999999999998</v>
      </c>
      <c r="G94" s="4" t="s">
        <v>28</v>
      </c>
      <c r="H94" s="9">
        <v>15000</v>
      </c>
      <c r="I94" s="8" cm="1">
        <f t="array" ref="I94">IF(F94 &gt;= H94,F94 * commission, 0)</f>
        <v>1592.1999999999998</v>
      </c>
    </row>
    <row r="95" spans="1:9">
      <c r="A95" s="5">
        <v>44531</v>
      </c>
      <c r="B95" s="4" t="s">
        <v>65</v>
      </c>
      <c r="C95" s="4" t="s">
        <v>66</v>
      </c>
      <c r="D95" s="4" t="s">
        <v>67</v>
      </c>
      <c r="E95" s="4" t="s">
        <v>4</v>
      </c>
      <c r="F95" s="6">
        <v>31970.799999999999</v>
      </c>
      <c r="G95" s="4" t="s">
        <v>27</v>
      </c>
      <c r="H95" s="9">
        <v>15000</v>
      </c>
      <c r="I95" s="8" cm="1">
        <f t="array" ref="I95">IF(F95 &gt;= H95,F95 * commission, 0)</f>
        <v>3197.08</v>
      </c>
    </row>
    <row r="96" spans="1:9">
      <c r="A96" s="5">
        <v>44531</v>
      </c>
      <c r="B96" s="4" t="s">
        <v>29</v>
      </c>
      <c r="C96" s="4" t="s">
        <v>30</v>
      </c>
      <c r="D96" s="4" t="s">
        <v>31</v>
      </c>
      <c r="E96" s="4" t="s">
        <v>4</v>
      </c>
      <c r="F96" s="6">
        <v>41520</v>
      </c>
      <c r="G96" s="4" t="s">
        <v>27</v>
      </c>
      <c r="H96" s="9">
        <v>15000</v>
      </c>
      <c r="I96" s="8" cm="1">
        <f t="array" ref="I96">IF(F96 &gt;= H96,F96 * commission, 0)</f>
        <v>4152</v>
      </c>
    </row>
    <row r="97" spans="1:9">
      <c r="A97" s="5">
        <v>44531</v>
      </c>
      <c r="B97" s="4" t="s">
        <v>29</v>
      </c>
      <c r="C97" s="4" t="s">
        <v>30</v>
      </c>
      <c r="D97" s="4" t="s">
        <v>31</v>
      </c>
      <c r="E97" s="4" t="s">
        <v>4</v>
      </c>
      <c r="F97" s="6">
        <v>45800.999999999993</v>
      </c>
      <c r="G97" s="4" t="s">
        <v>22</v>
      </c>
      <c r="H97" s="9">
        <v>15000</v>
      </c>
      <c r="I97" s="8" cm="1">
        <f t="array" ref="I97">IF(F97 &gt;= H97,F97 * commission, 0)</f>
        <v>4580.0999999999995</v>
      </c>
    </row>
  </sheetData>
  <conditionalFormatting sqref="F1:F1048576">
    <cfRule type="top10" dxfId="22" priority="1" rank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332C-0C70-4107-95B8-E3CD23542A55}">
  <dimension ref="A1:AA95"/>
  <sheetViews>
    <sheetView workbookViewId="0">
      <selection activeCell="L3" sqref="L3"/>
    </sheetView>
  </sheetViews>
  <sheetFormatPr defaultRowHeight="15"/>
  <cols>
    <col min="1" max="1" width="6.85546875" bestFit="1" customWidth="1"/>
    <col min="2" max="2" width="13.42578125" bestFit="1" customWidth="1"/>
    <col min="3" max="4" width="9.5703125" bestFit="1" customWidth="1"/>
    <col min="5" max="5" width="9" bestFit="1" customWidth="1"/>
    <col min="6" max="6" width="11.7109375" bestFit="1" customWidth="1"/>
    <col min="7" max="7" width="12.28515625" bestFit="1" customWidth="1"/>
    <col min="8" max="8" width="6.85546875" bestFit="1" customWidth="1"/>
    <col min="9" max="9" width="11.42578125" bestFit="1" customWidth="1"/>
    <col min="11" max="11" width="14.28515625" bestFit="1" customWidth="1"/>
    <col min="12" max="12" width="10.28515625" bestFit="1" customWidth="1"/>
  </cols>
  <sheetData>
    <row r="1" spans="1:27">
      <c r="A1" s="3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6" t="s">
        <v>15</v>
      </c>
      <c r="G1" s="4" t="s">
        <v>16</v>
      </c>
      <c r="H1" s="6" t="s">
        <v>17</v>
      </c>
      <c r="I1" s="6" t="s">
        <v>18</v>
      </c>
      <c r="K1" t="s">
        <v>53</v>
      </c>
      <c r="L1" t="s">
        <v>56</v>
      </c>
    </row>
    <row r="2" spans="1:27">
      <c r="A2" s="5">
        <v>44197</v>
      </c>
      <c r="B2" s="4" t="s">
        <v>53</v>
      </c>
      <c r="C2" s="4" t="s">
        <v>54</v>
      </c>
      <c r="D2" s="4" t="s">
        <v>55</v>
      </c>
      <c r="E2" s="4" t="s">
        <v>5</v>
      </c>
      <c r="F2" s="6">
        <v>6945.4</v>
      </c>
      <c r="G2" s="4" t="s">
        <v>28</v>
      </c>
      <c r="H2" s="9">
        <v>15000</v>
      </c>
      <c r="I2" s="8" cm="1">
        <f t="array" ref="I2">IF(F2 &gt;= H2,F2 * commission, 0)</f>
        <v>0</v>
      </c>
      <c r="K2">
        <f>SUMIF($B:$B, K1, $F:$F)</f>
        <v>261717.4</v>
      </c>
      <c r="L2">
        <f t="shared" ref="L2:AA2" si="0">SUMIF($B:$B, L1, $F:$F)</f>
        <v>423881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</row>
    <row r="3" spans="1:27">
      <c r="A3" s="5">
        <v>44197</v>
      </c>
      <c r="B3" s="4" t="s">
        <v>53</v>
      </c>
      <c r="C3" s="4" t="s">
        <v>54</v>
      </c>
      <c r="D3" s="4" t="s">
        <v>55</v>
      </c>
      <c r="E3" s="4" t="s">
        <v>5</v>
      </c>
      <c r="F3" s="6">
        <v>7658.2000000000007</v>
      </c>
      <c r="G3" s="4" t="s">
        <v>28</v>
      </c>
      <c r="H3" s="9">
        <v>15000</v>
      </c>
      <c r="I3" s="8" cm="1">
        <f t="array" ref="I3">IF(F3 &gt;= H3,F3 * commission, 0)</f>
        <v>0</v>
      </c>
    </row>
    <row r="4" spans="1:27">
      <c r="A4" s="5">
        <v>44197</v>
      </c>
      <c r="B4" s="4" t="s">
        <v>56</v>
      </c>
      <c r="C4" s="4" t="s">
        <v>57</v>
      </c>
      <c r="D4" s="4" t="s">
        <v>58</v>
      </c>
      <c r="E4" s="4" t="s">
        <v>5</v>
      </c>
      <c r="F4" s="6">
        <v>7658.5999999999985</v>
      </c>
      <c r="G4" s="4" t="s">
        <v>22</v>
      </c>
      <c r="H4" s="9">
        <v>15000</v>
      </c>
      <c r="I4" s="8" cm="1">
        <f t="array" ref="I4">IF(F4 &gt;= H4,F4 * commission, 0)</f>
        <v>0</v>
      </c>
    </row>
    <row r="5" spans="1:27">
      <c r="A5" s="5">
        <v>44197</v>
      </c>
      <c r="B5" s="4" t="s">
        <v>59</v>
      </c>
      <c r="C5" s="4" t="s">
        <v>60</v>
      </c>
      <c r="D5" s="4" t="s">
        <v>61</v>
      </c>
      <c r="E5" s="4" t="s">
        <v>5</v>
      </c>
      <c r="F5" s="6">
        <v>9098.6</v>
      </c>
      <c r="G5" s="4" t="s">
        <v>28</v>
      </c>
      <c r="H5" s="9">
        <v>15000</v>
      </c>
      <c r="I5" s="8" cm="1">
        <f t="array" ref="I5">IF(F5 &gt;= H5,F5 * commission, 0)</f>
        <v>0</v>
      </c>
    </row>
    <row r="6" spans="1:27">
      <c r="A6" s="5">
        <v>44197</v>
      </c>
      <c r="B6" s="4" t="s">
        <v>53</v>
      </c>
      <c r="C6" s="4" t="s">
        <v>54</v>
      </c>
      <c r="D6" s="4" t="s">
        <v>55</v>
      </c>
      <c r="E6" s="4" t="s">
        <v>5</v>
      </c>
      <c r="F6" s="6">
        <v>10019.199999999999</v>
      </c>
      <c r="G6" s="4" t="s">
        <v>28</v>
      </c>
      <c r="H6" s="9">
        <v>15000</v>
      </c>
      <c r="I6" s="8" cm="1">
        <f t="array" ref="I6">IF(F6 &gt;= H6,F6 * commission, 0)</f>
        <v>0</v>
      </c>
    </row>
    <row r="7" spans="1:27">
      <c r="A7" s="5">
        <v>44197</v>
      </c>
      <c r="B7" s="4" t="s">
        <v>56</v>
      </c>
      <c r="C7" s="4" t="s">
        <v>57</v>
      </c>
      <c r="D7" s="4" t="s">
        <v>58</v>
      </c>
      <c r="E7" s="4" t="s">
        <v>5</v>
      </c>
      <c r="F7" s="6">
        <v>10176</v>
      </c>
      <c r="G7" s="4" t="s">
        <v>22</v>
      </c>
      <c r="H7" s="9">
        <v>15000</v>
      </c>
      <c r="I7" s="8" cm="1">
        <f t="array" ref="I7">IF(F7 &gt;= H7,F7 * commission, 0)</f>
        <v>0</v>
      </c>
    </row>
    <row r="8" spans="1:27">
      <c r="A8" s="5">
        <v>44197</v>
      </c>
      <c r="B8" s="4" t="s">
        <v>59</v>
      </c>
      <c r="C8" s="4" t="s">
        <v>60</v>
      </c>
      <c r="D8" s="4" t="s">
        <v>61</v>
      </c>
      <c r="E8" s="4" t="s">
        <v>5</v>
      </c>
      <c r="F8" s="6">
        <v>16385.600000000002</v>
      </c>
      <c r="G8" s="4" t="s">
        <v>27</v>
      </c>
      <c r="H8" s="9">
        <v>15000</v>
      </c>
      <c r="I8" s="8" cm="1">
        <f t="array" ref="I8">IF(F8 &gt;= H8,F8 * commission, 0)</f>
        <v>1638.5600000000004</v>
      </c>
    </row>
    <row r="9" spans="1:27">
      <c r="A9" s="5">
        <v>44197</v>
      </c>
      <c r="B9" s="4" t="s">
        <v>56</v>
      </c>
      <c r="C9" s="4" t="s">
        <v>57</v>
      </c>
      <c r="D9" s="4" t="s">
        <v>58</v>
      </c>
      <c r="E9" s="4" t="s">
        <v>5</v>
      </c>
      <c r="F9" s="6">
        <v>19108</v>
      </c>
      <c r="G9" s="4" t="s">
        <v>22</v>
      </c>
      <c r="H9" s="9">
        <v>15000</v>
      </c>
      <c r="I9" s="8" cm="1">
        <f t="array" ref="I9">IF(F9 &gt;= H9,F9 * commission, 0)</f>
        <v>1910.8000000000002</v>
      </c>
    </row>
    <row r="10" spans="1:27">
      <c r="A10" s="5">
        <v>44197</v>
      </c>
      <c r="B10" s="4" t="s">
        <v>53</v>
      </c>
      <c r="C10" s="4" t="s">
        <v>54</v>
      </c>
      <c r="D10" s="4" t="s">
        <v>55</v>
      </c>
      <c r="E10" s="4" t="s">
        <v>5</v>
      </c>
      <c r="F10" s="6">
        <v>19456</v>
      </c>
      <c r="G10" s="4" t="s">
        <v>27</v>
      </c>
      <c r="H10" s="9">
        <v>15000</v>
      </c>
      <c r="I10" s="8" cm="1">
        <f t="array" ref="I10">IF(F10 &gt;= H10,F10 * commission, 0)</f>
        <v>1945.6000000000001</v>
      </c>
    </row>
    <row r="11" spans="1:27">
      <c r="A11" s="5">
        <v>44197</v>
      </c>
      <c r="B11" s="4" t="s">
        <v>62</v>
      </c>
      <c r="C11" s="4" t="s">
        <v>63</v>
      </c>
      <c r="D11" s="4" t="s">
        <v>64</v>
      </c>
      <c r="E11" s="4" t="s">
        <v>5</v>
      </c>
      <c r="F11" s="6">
        <v>31127.199999999997</v>
      </c>
      <c r="G11" s="4" t="s">
        <v>28</v>
      </c>
      <c r="H11" s="9">
        <v>15000</v>
      </c>
      <c r="I11" s="8" cm="1">
        <f t="array" ref="I11">IF(F11 &gt;= H11,F11 * commission, 0)</f>
        <v>3112.72</v>
      </c>
    </row>
    <row r="12" spans="1:27">
      <c r="A12" s="5">
        <v>44197</v>
      </c>
      <c r="B12" s="4" t="s">
        <v>62</v>
      </c>
      <c r="C12" s="4" t="s">
        <v>63</v>
      </c>
      <c r="D12" s="4" t="s">
        <v>64</v>
      </c>
      <c r="E12" s="4" t="s">
        <v>5</v>
      </c>
      <c r="F12" s="6">
        <v>36372.1</v>
      </c>
      <c r="G12" s="4" t="s">
        <v>27</v>
      </c>
      <c r="H12" s="9">
        <v>15000</v>
      </c>
      <c r="I12" s="8" cm="1">
        <f t="array" ref="I12">IF(F12 &gt;= H12,F12 * commission, 0)</f>
        <v>3637.21</v>
      </c>
    </row>
    <row r="13" spans="1:27">
      <c r="A13" s="5">
        <v>44197</v>
      </c>
      <c r="B13" s="4" t="s">
        <v>56</v>
      </c>
      <c r="C13" s="4" t="s">
        <v>57</v>
      </c>
      <c r="D13" s="4" t="s">
        <v>58</v>
      </c>
      <c r="E13" s="4" t="s">
        <v>5</v>
      </c>
      <c r="F13" s="6">
        <v>39186</v>
      </c>
      <c r="G13" s="4" t="s">
        <v>22</v>
      </c>
      <c r="H13" s="9">
        <v>15000</v>
      </c>
      <c r="I13" s="8" cm="1">
        <f t="array" ref="I13">IF(F13 &gt;= H13,F13 * commission, 0)</f>
        <v>3918.6000000000004</v>
      </c>
    </row>
    <row r="14" spans="1:27">
      <c r="A14" s="5">
        <v>44197</v>
      </c>
      <c r="B14" s="4" t="s">
        <v>62</v>
      </c>
      <c r="C14" s="4" t="s">
        <v>63</v>
      </c>
      <c r="D14" s="4" t="s">
        <v>64</v>
      </c>
      <c r="E14" s="4" t="s">
        <v>5</v>
      </c>
      <c r="F14" s="6">
        <v>46715.999999999993</v>
      </c>
      <c r="G14" s="4" t="s">
        <v>27</v>
      </c>
      <c r="H14" s="9">
        <v>15000</v>
      </c>
      <c r="I14" s="8" cm="1">
        <f t="array" ref="I14">IF(F14 &gt;= H14,F14 * commission, 0)</f>
        <v>4671.5999999999995</v>
      </c>
    </row>
    <row r="15" spans="1:27">
      <c r="A15" s="5">
        <v>44228</v>
      </c>
      <c r="B15" s="4" t="s">
        <v>53</v>
      </c>
      <c r="C15" s="4" t="s">
        <v>54</v>
      </c>
      <c r="D15" s="4" t="s">
        <v>55</v>
      </c>
      <c r="E15" s="4" t="s">
        <v>5</v>
      </c>
      <c r="F15" s="6">
        <v>4531</v>
      </c>
      <c r="G15" s="4" t="s">
        <v>28</v>
      </c>
      <c r="H15" s="9">
        <v>15000</v>
      </c>
      <c r="I15" s="8" cm="1">
        <f t="array" ref="I15">IF(F15 &gt;= H15,F15 * commission, 0)</f>
        <v>0</v>
      </c>
    </row>
    <row r="16" spans="1:27">
      <c r="A16" s="5">
        <v>44228</v>
      </c>
      <c r="B16" s="4" t="s">
        <v>74</v>
      </c>
      <c r="C16" s="4" t="s">
        <v>75</v>
      </c>
      <c r="D16" s="4" t="s">
        <v>76</v>
      </c>
      <c r="E16" s="4" t="s">
        <v>5</v>
      </c>
      <c r="F16" s="6">
        <v>6751.7999999999993</v>
      </c>
      <c r="G16" s="4" t="s">
        <v>22</v>
      </c>
      <c r="H16" s="9">
        <v>15000</v>
      </c>
      <c r="I16" s="8" cm="1">
        <f t="array" ref="I16">IF(F16 &gt;= H16,F16 * commission, 0)</f>
        <v>0</v>
      </c>
    </row>
    <row r="17" spans="1:9">
      <c r="A17" s="5">
        <v>44228</v>
      </c>
      <c r="B17" s="4" t="s">
        <v>53</v>
      </c>
      <c r="C17" s="4" t="s">
        <v>54</v>
      </c>
      <c r="D17" s="4" t="s">
        <v>55</v>
      </c>
      <c r="E17" s="4" t="s">
        <v>5</v>
      </c>
      <c r="F17" s="6">
        <v>7343.2000000000007</v>
      </c>
      <c r="G17" s="4" t="s">
        <v>22</v>
      </c>
      <c r="H17" s="9">
        <v>15000</v>
      </c>
      <c r="I17" s="8" cm="1">
        <f t="array" ref="I17">IF(F17 &gt;= H17,F17 * commission, 0)</f>
        <v>0</v>
      </c>
    </row>
    <row r="18" spans="1:9">
      <c r="A18" s="5">
        <v>44228</v>
      </c>
      <c r="B18" s="4" t="s">
        <v>53</v>
      </c>
      <c r="C18" s="4" t="s">
        <v>54</v>
      </c>
      <c r="D18" s="4" t="s">
        <v>55</v>
      </c>
      <c r="E18" s="4" t="s">
        <v>5</v>
      </c>
      <c r="F18" s="6">
        <v>7356.5999999999995</v>
      </c>
      <c r="G18" s="4" t="s">
        <v>27</v>
      </c>
      <c r="H18" s="9">
        <v>15000</v>
      </c>
      <c r="I18" s="8" cm="1">
        <f t="array" ref="I18">IF(F18 &gt;= H18,F18 * commission, 0)</f>
        <v>0</v>
      </c>
    </row>
    <row r="19" spans="1:9">
      <c r="A19" s="5">
        <v>44228</v>
      </c>
      <c r="B19" s="4" t="s">
        <v>74</v>
      </c>
      <c r="C19" s="4" t="s">
        <v>75</v>
      </c>
      <c r="D19" s="4" t="s">
        <v>76</v>
      </c>
      <c r="E19" s="4" t="s">
        <v>5</v>
      </c>
      <c r="F19" s="6">
        <v>17748</v>
      </c>
      <c r="G19" s="4" t="s">
        <v>27</v>
      </c>
      <c r="H19" s="9">
        <v>15000</v>
      </c>
      <c r="I19" s="8" cm="1">
        <f t="array" ref="I19">IF(F19 &gt;= H19,F19 * commission, 0)</f>
        <v>1774.8000000000002</v>
      </c>
    </row>
    <row r="20" spans="1:9">
      <c r="A20" s="5">
        <v>44228</v>
      </c>
      <c r="B20" s="4" t="s">
        <v>53</v>
      </c>
      <c r="C20" s="4" t="s">
        <v>54</v>
      </c>
      <c r="D20" s="4" t="s">
        <v>55</v>
      </c>
      <c r="E20" s="4" t="s">
        <v>5</v>
      </c>
      <c r="F20" s="6">
        <v>28395.5</v>
      </c>
      <c r="G20" s="4" t="s">
        <v>28</v>
      </c>
      <c r="H20" s="9">
        <v>15000</v>
      </c>
      <c r="I20" s="8" cm="1">
        <f t="array" ref="I20">IF(F20 &gt;= H20,F20 * commission, 0)</f>
        <v>2839.55</v>
      </c>
    </row>
    <row r="21" spans="1:9">
      <c r="A21" s="5">
        <v>44228</v>
      </c>
      <c r="B21" s="4" t="s">
        <v>56</v>
      </c>
      <c r="C21" s="4" t="s">
        <v>57</v>
      </c>
      <c r="D21" s="4" t="s">
        <v>58</v>
      </c>
      <c r="E21" s="4" t="s">
        <v>5</v>
      </c>
      <c r="F21" s="6">
        <v>41429.5</v>
      </c>
      <c r="G21" s="4" t="s">
        <v>22</v>
      </c>
      <c r="H21" s="9">
        <v>15000</v>
      </c>
      <c r="I21" s="8" cm="1">
        <f t="array" ref="I21">IF(F21 &gt;= H21,F21 * commission, 0)</f>
        <v>4142.95</v>
      </c>
    </row>
    <row r="22" spans="1:9">
      <c r="A22" s="5">
        <v>44256</v>
      </c>
      <c r="B22" s="4" t="s">
        <v>62</v>
      </c>
      <c r="C22" s="4" t="s">
        <v>63</v>
      </c>
      <c r="D22" s="4" t="s">
        <v>64</v>
      </c>
      <c r="E22" s="4" t="s">
        <v>5</v>
      </c>
      <c r="F22" s="6">
        <v>6708.9</v>
      </c>
      <c r="G22" s="4" t="s">
        <v>28</v>
      </c>
      <c r="H22" s="9">
        <v>15000</v>
      </c>
      <c r="I22" s="8" cm="1">
        <f t="array" ref="I22">IF(F22 &gt;= H22,F22 * commission, 0)</f>
        <v>0</v>
      </c>
    </row>
    <row r="23" spans="1:9">
      <c r="A23" s="5">
        <v>44256</v>
      </c>
      <c r="B23" s="4" t="s">
        <v>59</v>
      </c>
      <c r="C23" s="4" t="s">
        <v>60</v>
      </c>
      <c r="D23" s="4" t="s">
        <v>61</v>
      </c>
      <c r="E23" s="4" t="s">
        <v>5</v>
      </c>
      <c r="F23" s="6">
        <v>7982.7</v>
      </c>
      <c r="G23" s="4" t="s">
        <v>28</v>
      </c>
      <c r="H23" s="9">
        <v>15000</v>
      </c>
      <c r="I23" s="8" cm="1">
        <f t="array" ref="I23">IF(F23 &gt;= H23,F23 * commission, 0)</f>
        <v>0</v>
      </c>
    </row>
    <row r="24" spans="1:9">
      <c r="A24" s="5">
        <v>44256</v>
      </c>
      <c r="B24" s="4" t="s">
        <v>56</v>
      </c>
      <c r="C24" s="4" t="s">
        <v>57</v>
      </c>
      <c r="D24" s="4" t="s">
        <v>58</v>
      </c>
      <c r="E24" s="4" t="s">
        <v>5</v>
      </c>
      <c r="F24" s="6">
        <v>8694</v>
      </c>
      <c r="G24" s="4" t="s">
        <v>27</v>
      </c>
      <c r="H24" s="9">
        <v>15000</v>
      </c>
      <c r="I24" s="8" cm="1">
        <f t="array" ref="I24">IF(F24 &gt;= H24,F24 * commission, 0)</f>
        <v>0</v>
      </c>
    </row>
    <row r="25" spans="1:9">
      <c r="A25" s="5">
        <v>44256</v>
      </c>
      <c r="B25" s="4" t="s">
        <v>56</v>
      </c>
      <c r="C25" s="4" t="s">
        <v>57</v>
      </c>
      <c r="D25" s="4" t="s">
        <v>58</v>
      </c>
      <c r="E25" s="4" t="s">
        <v>5</v>
      </c>
      <c r="F25" s="6">
        <v>9116</v>
      </c>
      <c r="G25" s="4" t="s">
        <v>27</v>
      </c>
      <c r="H25" s="9">
        <v>15000</v>
      </c>
      <c r="I25" s="8" cm="1">
        <f t="array" ref="I25">IF(F25 &gt;= H25,F25 * commission, 0)</f>
        <v>0</v>
      </c>
    </row>
    <row r="26" spans="1:9">
      <c r="A26" s="5">
        <v>44256</v>
      </c>
      <c r="B26" s="4" t="s">
        <v>59</v>
      </c>
      <c r="C26" s="4" t="s">
        <v>60</v>
      </c>
      <c r="D26" s="4" t="s">
        <v>61</v>
      </c>
      <c r="E26" s="4" t="s">
        <v>5</v>
      </c>
      <c r="F26" s="6">
        <v>10110.299999999999</v>
      </c>
      <c r="G26" s="4" t="s">
        <v>27</v>
      </c>
      <c r="H26" s="9">
        <v>15000</v>
      </c>
      <c r="I26" s="8" cm="1">
        <f t="array" ref="I26">IF(F26 &gt;= H26,F26 * commission, 0)</f>
        <v>0</v>
      </c>
    </row>
    <row r="27" spans="1:9">
      <c r="A27" s="5">
        <v>44256</v>
      </c>
      <c r="B27" s="4" t="s">
        <v>53</v>
      </c>
      <c r="C27" s="4" t="s">
        <v>54</v>
      </c>
      <c r="D27" s="4" t="s">
        <v>55</v>
      </c>
      <c r="E27" s="4" t="s">
        <v>5</v>
      </c>
      <c r="F27" s="6">
        <v>10451.199999999999</v>
      </c>
      <c r="G27" s="4" t="s">
        <v>27</v>
      </c>
      <c r="H27" s="9">
        <v>15000</v>
      </c>
      <c r="I27" s="8" cm="1">
        <f t="array" ref="I27">IF(F27 &gt;= H27,F27 * commission, 0)</f>
        <v>0</v>
      </c>
    </row>
    <row r="28" spans="1:9">
      <c r="A28" s="5">
        <v>44256</v>
      </c>
      <c r="B28" s="4" t="s">
        <v>53</v>
      </c>
      <c r="C28" s="4" t="s">
        <v>54</v>
      </c>
      <c r="D28" s="4" t="s">
        <v>55</v>
      </c>
      <c r="E28" s="4" t="s">
        <v>5</v>
      </c>
      <c r="F28" s="6">
        <v>11580.4</v>
      </c>
      <c r="G28" s="4" t="s">
        <v>22</v>
      </c>
      <c r="H28" s="9">
        <v>15000</v>
      </c>
      <c r="I28" s="8" cm="1">
        <f t="array" ref="I28">IF(F28 &gt;= H28,F28 * commission, 0)</f>
        <v>0</v>
      </c>
    </row>
    <row r="29" spans="1:9">
      <c r="A29" s="5">
        <v>44256</v>
      </c>
      <c r="B29" s="4" t="s">
        <v>56</v>
      </c>
      <c r="C29" s="4" t="s">
        <v>57</v>
      </c>
      <c r="D29" s="4" t="s">
        <v>58</v>
      </c>
      <c r="E29" s="4" t="s">
        <v>5</v>
      </c>
      <c r="F29" s="6">
        <v>14329.5</v>
      </c>
      <c r="G29" s="4" t="s">
        <v>27</v>
      </c>
      <c r="H29" s="9">
        <v>15000</v>
      </c>
      <c r="I29" s="8" cm="1">
        <f t="array" ref="I29">IF(F29 &gt;= H29,F29 * commission, 0)</f>
        <v>0</v>
      </c>
    </row>
    <row r="30" spans="1:9">
      <c r="A30" s="5">
        <v>44256</v>
      </c>
      <c r="B30" s="4" t="s">
        <v>56</v>
      </c>
      <c r="C30" s="4" t="s">
        <v>57</v>
      </c>
      <c r="D30" s="4" t="s">
        <v>58</v>
      </c>
      <c r="E30" s="4" t="s">
        <v>5</v>
      </c>
      <c r="F30" s="6">
        <v>20128</v>
      </c>
      <c r="G30" s="4" t="s">
        <v>28</v>
      </c>
      <c r="H30" s="9">
        <v>15000</v>
      </c>
      <c r="I30" s="8" cm="1">
        <f t="array" ref="I30">IF(F30 &gt;= H30,F30 * commission, 0)</f>
        <v>2012.8000000000002</v>
      </c>
    </row>
    <row r="31" spans="1:9">
      <c r="A31" s="5">
        <v>44256</v>
      </c>
      <c r="B31" s="4" t="s">
        <v>62</v>
      </c>
      <c r="C31" s="4" t="s">
        <v>63</v>
      </c>
      <c r="D31" s="4" t="s">
        <v>64</v>
      </c>
      <c r="E31" s="4" t="s">
        <v>5</v>
      </c>
      <c r="F31" s="6">
        <v>21167.999999999996</v>
      </c>
      <c r="G31" s="4" t="s">
        <v>27</v>
      </c>
      <c r="H31" s="9">
        <v>15000</v>
      </c>
      <c r="I31" s="8" cm="1">
        <f t="array" ref="I31">IF(F31 &gt;= H31,F31 * commission, 0)</f>
        <v>2116.7999999999997</v>
      </c>
    </row>
    <row r="32" spans="1:9">
      <c r="A32" s="5">
        <v>44256</v>
      </c>
      <c r="B32" s="4" t="s">
        <v>74</v>
      </c>
      <c r="C32" s="4" t="s">
        <v>75</v>
      </c>
      <c r="D32" s="4" t="s">
        <v>76</v>
      </c>
      <c r="E32" s="4" t="s">
        <v>5</v>
      </c>
      <c r="F32" s="6">
        <v>25102.399999999998</v>
      </c>
      <c r="G32" s="4" t="s">
        <v>22</v>
      </c>
      <c r="H32" s="9">
        <v>15000</v>
      </c>
      <c r="I32" s="8" cm="1">
        <f t="array" ref="I32">IF(F32 &gt;= H32,F32 * commission, 0)</f>
        <v>2510.2399999999998</v>
      </c>
    </row>
    <row r="33" spans="1:9">
      <c r="A33" s="5">
        <v>44256</v>
      </c>
      <c r="B33" s="4" t="s">
        <v>74</v>
      </c>
      <c r="C33" s="4" t="s">
        <v>75</v>
      </c>
      <c r="D33" s="4" t="s">
        <v>76</v>
      </c>
      <c r="E33" s="4" t="s">
        <v>5</v>
      </c>
      <c r="F33" s="6">
        <v>27670.9</v>
      </c>
      <c r="G33" s="4" t="s">
        <v>28</v>
      </c>
      <c r="H33" s="9">
        <v>15000</v>
      </c>
      <c r="I33" s="8" cm="1">
        <f t="array" ref="I33">IF(F33 &gt;= H33,F33 * commission, 0)</f>
        <v>2767.09</v>
      </c>
    </row>
    <row r="34" spans="1:9">
      <c r="A34" s="5">
        <v>44256</v>
      </c>
      <c r="B34" s="4" t="s">
        <v>74</v>
      </c>
      <c r="C34" s="4" t="s">
        <v>75</v>
      </c>
      <c r="D34" s="4" t="s">
        <v>76</v>
      </c>
      <c r="E34" s="4" t="s">
        <v>5</v>
      </c>
      <c r="F34" s="6">
        <v>27956.799999999999</v>
      </c>
      <c r="G34" s="4" t="s">
        <v>22</v>
      </c>
      <c r="H34" s="9">
        <v>15000</v>
      </c>
      <c r="I34" s="8" cm="1">
        <f t="array" ref="I34">IF(F34 &gt;= H34,F34 * commission, 0)</f>
        <v>2795.6800000000003</v>
      </c>
    </row>
    <row r="35" spans="1:9">
      <c r="A35" s="5">
        <v>44256</v>
      </c>
      <c r="B35" s="4" t="s">
        <v>56</v>
      </c>
      <c r="C35" s="4" t="s">
        <v>57</v>
      </c>
      <c r="D35" s="4" t="s">
        <v>58</v>
      </c>
      <c r="E35" s="4" t="s">
        <v>5</v>
      </c>
      <c r="F35" s="6">
        <v>31407</v>
      </c>
      <c r="G35" s="4" t="s">
        <v>22</v>
      </c>
      <c r="H35" s="9">
        <v>15000</v>
      </c>
      <c r="I35" s="8" cm="1">
        <f t="array" ref="I35">IF(F35 &gt;= H35,F35 * commission, 0)</f>
        <v>3140.7000000000003</v>
      </c>
    </row>
    <row r="36" spans="1:9">
      <c r="A36" s="5">
        <v>44256</v>
      </c>
      <c r="B36" s="4" t="s">
        <v>59</v>
      </c>
      <c r="C36" s="4" t="s">
        <v>60</v>
      </c>
      <c r="D36" s="4" t="s">
        <v>61</v>
      </c>
      <c r="E36" s="4" t="s">
        <v>5</v>
      </c>
      <c r="F36" s="6">
        <v>35647.5</v>
      </c>
      <c r="G36" s="4" t="s">
        <v>28</v>
      </c>
      <c r="H36" s="9">
        <v>15000</v>
      </c>
      <c r="I36" s="8" cm="1">
        <f t="array" ref="I36">IF(F36 &gt;= H36,F36 * commission, 0)</f>
        <v>3564.75</v>
      </c>
    </row>
    <row r="37" spans="1:9">
      <c r="A37" s="5">
        <v>44256</v>
      </c>
      <c r="B37" s="4" t="s">
        <v>59</v>
      </c>
      <c r="C37" s="4" t="s">
        <v>60</v>
      </c>
      <c r="D37" s="4" t="s">
        <v>61</v>
      </c>
      <c r="E37" s="4" t="s">
        <v>5</v>
      </c>
      <c r="F37" s="6">
        <v>36907.200000000004</v>
      </c>
      <c r="G37" s="4" t="s">
        <v>22</v>
      </c>
      <c r="H37" s="9">
        <v>15000</v>
      </c>
      <c r="I37" s="8" cm="1">
        <f t="array" ref="I37">IF(F37 &gt;= H37,F37 * commission, 0)</f>
        <v>3690.7200000000007</v>
      </c>
    </row>
    <row r="38" spans="1:9">
      <c r="A38" s="5">
        <v>44287</v>
      </c>
      <c r="B38" s="4" t="s">
        <v>59</v>
      </c>
      <c r="C38" s="4" t="s">
        <v>60</v>
      </c>
      <c r="D38" s="4" t="s">
        <v>61</v>
      </c>
      <c r="E38" s="4" t="s">
        <v>5</v>
      </c>
      <c r="F38" s="6">
        <v>5696.4</v>
      </c>
      <c r="G38" s="4" t="s">
        <v>27</v>
      </c>
      <c r="H38" s="9">
        <v>15000</v>
      </c>
      <c r="I38" s="8" cm="1">
        <f t="array" ref="I38">IF(F38 &gt;= H38,F38 * commission, 0)</f>
        <v>0</v>
      </c>
    </row>
    <row r="39" spans="1:9">
      <c r="A39" s="5">
        <v>44287</v>
      </c>
      <c r="B39" s="4" t="s">
        <v>53</v>
      </c>
      <c r="C39" s="4" t="s">
        <v>54</v>
      </c>
      <c r="D39" s="4" t="s">
        <v>55</v>
      </c>
      <c r="E39" s="4" t="s">
        <v>5</v>
      </c>
      <c r="F39" s="6">
        <v>11716.5</v>
      </c>
      <c r="G39" s="4" t="s">
        <v>27</v>
      </c>
      <c r="H39" s="9">
        <v>15000</v>
      </c>
      <c r="I39" s="8" cm="1">
        <f t="array" ref="I39">IF(F39 &gt;= H39,F39 * commission, 0)</f>
        <v>0</v>
      </c>
    </row>
    <row r="40" spans="1:9">
      <c r="A40" s="5">
        <v>44287</v>
      </c>
      <c r="B40" s="4" t="s">
        <v>62</v>
      </c>
      <c r="C40" s="4" t="s">
        <v>63</v>
      </c>
      <c r="D40" s="4" t="s">
        <v>64</v>
      </c>
      <c r="E40" s="4" t="s">
        <v>5</v>
      </c>
      <c r="F40" s="6">
        <v>14416</v>
      </c>
      <c r="G40" s="4" t="s">
        <v>28</v>
      </c>
      <c r="H40" s="9">
        <v>15000</v>
      </c>
      <c r="I40" s="8" cm="1">
        <f t="array" ref="I40">IF(F40 &gt;= H40,F40 * commission, 0)</f>
        <v>0</v>
      </c>
    </row>
    <row r="41" spans="1:9">
      <c r="A41" s="5">
        <v>44287</v>
      </c>
      <c r="B41" s="4" t="s">
        <v>53</v>
      </c>
      <c r="C41" s="4" t="s">
        <v>54</v>
      </c>
      <c r="D41" s="4" t="s">
        <v>55</v>
      </c>
      <c r="E41" s="4" t="s">
        <v>5</v>
      </c>
      <c r="F41" s="6">
        <v>16499.400000000001</v>
      </c>
      <c r="G41" s="4" t="s">
        <v>22</v>
      </c>
      <c r="H41" s="9">
        <v>15000</v>
      </c>
      <c r="I41" s="8" cm="1">
        <f t="array" ref="I41">IF(F41 &gt;= H41,F41 * commission, 0)</f>
        <v>1649.9400000000003</v>
      </c>
    </row>
    <row r="42" spans="1:9">
      <c r="A42" s="5">
        <v>44287</v>
      </c>
      <c r="B42" s="4" t="s">
        <v>59</v>
      </c>
      <c r="C42" s="4" t="s">
        <v>60</v>
      </c>
      <c r="D42" s="4" t="s">
        <v>61</v>
      </c>
      <c r="E42" s="4" t="s">
        <v>5</v>
      </c>
      <c r="F42" s="6">
        <v>16968</v>
      </c>
      <c r="G42" s="4" t="s">
        <v>28</v>
      </c>
      <c r="H42" s="9">
        <v>15000</v>
      </c>
      <c r="I42" s="8" cm="1">
        <f t="array" ref="I42">IF(F42 &gt;= H42,F42 * commission, 0)</f>
        <v>1696.8000000000002</v>
      </c>
    </row>
    <row r="43" spans="1:9">
      <c r="A43" s="5">
        <v>44287</v>
      </c>
      <c r="B43" s="4" t="s">
        <v>56</v>
      </c>
      <c r="C43" s="4" t="s">
        <v>57</v>
      </c>
      <c r="D43" s="4" t="s">
        <v>58</v>
      </c>
      <c r="E43" s="4" t="s">
        <v>5</v>
      </c>
      <c r="F43" s="6">
        <v>17993.5</v>
      </c>
      <c r="G43" s="4" t="s">
        <v>27</v>
      </c>
      <c r="H43" s="9">
        <v>15000</v>
      </c>
      <c r="I43" s="8" cm="1">
        <f t="array" ref="I43">IF(F43 &gt;= H43,F43 * commission, 0)</f>
        <v>1799.3500000000001</v>
      </c>
    </row>
    <row r="44" spans="1:9">
      <c r="A44" s="5">
        <v>44287</v>
      </c>
      <c r="B44" s="4" t="s">
        <v>59</v>
      </c>
      <c r="C44" s="4" t="s">
        <v>60</v>
      </c>
      <c r="D44" s="4" t="s">
        <v>61</v>
      </c>
      <c r="E44" s="4" t="s">
        <v>5</v>
      </c>
      <c r="F44" s="6">
        <v>18188.399999999998</v>
      </c>
      <c r="G44" s="4" t="s">
        <v>22</v>
      </c>
      <c r="H44" s="9">
        <v>15000</v>
      </c>
      <c r="I44" s="8" cm="1">
        <f t="array" ref="I44">IF(F44 &gt;= H44,F44 * commission, 0)</f>
        <v>1818.84</v>
      </c>
    </row>
    <row r="45" spans="1:9">
      <c r="A45" s="5">
        <v>44317</v>
      </c>
      <c r="B45" s="4" t="s">
        <v>62</v>
      </c>
      <c r="C45" s="4" t="s">
        <v>63</v>
      </c>
      <c r="D45" s="4" t="s">
        <v>64</v>
      </c>
      <c r="E45" s="4" t="s">
        <v>5</v>
      </c>
      <c r="F45" s="6">
        <v>9004.7999999999993</v>
      </c>
      <c r="G45" s="4" t="s">
        <v>27</v>
      </c>
      <c r="H45" s="9">
        <v>15000</v>
      </c>
      <c r="I45" s="8" cm="1">
        <f t="array" ref="I45">IF(F45 &gt;= H45,F45 * commission, 0)</f>
        <v>0</v>
      </c>
    </row>
    <row r="46" spans="1:9">
      <c r="A46" s="5">
        <v>44317</v>
      </c>
      <c r="B46" s="4" t="s">
        <v>59</v>
      </c>
      <c r="C46" s="4" t="s">
        <v>60</v>
      </c>
      <c r="D46" s="4" t="s">
        <v>61</v>
      </c>
      <c r="E46" s="4" t="s">
        <v>5</v>
      </c>
      <c r="F46" s="6">
        <v>18826.400000000001</v>
      </c>
      <c r="G46" s="4" t="s">
        <v>28</v>
      </c>
      <c r="H46" s="9">
        <v>15000</v>
      </c>
      <c r="I46" s="8" cm="1">
        <f t="array" ref="I46">IF(F46 &gt;= H46,F46 * commission, 0)</f>
        <v>1882.6400000000003</v>
      </c>
    </row>
    <row r="47" spans="1:9">
      <c r="A47" s="5">
        <v>44317</v>
      </c>
      <c r="B47" s="4" t="s">
        <v>59</v>
      </c>
      <c r="C47" s="4" t="s">
        <v>60</v>
      </c>
      <c r="D47" s="4" t="s">
        <v>61</v>
      </c>
      <c r="E47" s="4" t="s">
        <v>5</v>
      </c>
      <c r="F47" s="6">
        <v>19617.5</v>
      </c>
      <c r="G47" s="4" t="s">
        <v>28</v>
      </c>
      <c r="H47" s="9">
        <v>15000</v>
      </c>
      <c r="I47" s="8" cm="1">
        <f t="array" ref="I47">IF(F47 &gt;= H47,F47 * commission, 0)</f>
        <v>1961.75</v>
      </c>
    </row>
    <row r="48" spans="1:9">
      <c r="A48" s="5">
        <v>44317</v>
      </c>
      <c r="B48" s="4" t="s">
        <v>59</v>
      </c>
      <c r="C48" s="4" t="s">
        <v>60</v>
      </c>
      <c r="D48" s="4" t="s">
        <v>61</v>
      </c>
      <c r="E48" s="4" t="s">
        <v>5</v>
      </c>
      <c r="F48" s="6">
        <v>19836.400000000001</v>
      </c>
      <c r="G48" s="4" t="s">
        <v>27</v>
      </c>
      <c r="H48" s="9">
        <v>15000</v>
      </c>
      <c r="I48" s="8" cm="1">
        <f t="array" ref="I48">IF(F48 &gt;= H48,F48 * commission, 0)</f>
        <v>1983.6400000000003</v>
      </c>
    </row>
    <row r="49" spans="1:9">
      <c r="A49" s="5">
        <v>44317</v>
      </c>
      <c r="B49" s="4" t="s">
        <v>56</v>
      </c>
      <c r="C49" s="4" t="s">
        <v>57</v>
      </c>
      <c r="D49" s="4" t="s">
        <v>58</v>
      </c>
      <c r="E49" s="4" t="s">
        <v>5</v>
      </c>
      <c r="F49" s="6">
        <v>20717.599999999999</v>
      </c>
      <c r="G49" s="4" t="s">
        <v>22</v>
      </c>
      <c r="H49" s="9">
        <v>15000</v>
      </c>
      <c r="I49" s="8" cm="1">
        <f t="array" ref="I49">IF(F49 &gt;= H49,F49 * commission, 0)</f>
        <v>2071.7599999999998</v>
      </c>
    </row>
    <row r="50" spans="1:9">
      <c r="A50" s="5">
        <v>44317</v>
      </c>
      <c r="B50" s="4" t="s">
        <v>74</v>
      </c>
      <c r="C50" s="4" t="s">
        <v>75</v>
      </c>
      <c r="D50" s="4" t="s">
        <v>76</v>
      </c>
      <c r="E50" s="4" t="s">
        <v>5</v>
      </c>
      <c r="F50" s="6">
        <v>23364</v>
      </c>
      <c r="G50" s="4" t="s">
        <v>22</v>
      </c>
      <c r="H50" s="9">
        <v>15000</v>
      </c>
      <c r="I50" s="8" cm="1">
        <f t="array" ref="I50">IF(F50 &gt;= H50,F50 * commission, 0)</f>
        <v>2336.4</v>
      </c>
    </row>
    <row r="51" spans="1:9">
      <c r="A51" s="5">
        <v>44317</v>
      </c>
      <c r="B51" s="4" t="s">
        <v>59</v>
      </c>
      <c r="C51" s="4" t="s">
        <v>60</v>
      </c>
      <c r="D51" s="4" t="s">
        <v>61</v>
      </c>
      <c r="E51" s="4" t="s">
        <v>5</v>
      </c>
      <c r="F51" s="6">
        <v>23997.600000000002</v>
      </c>
      <c r="G51" s="4" t="s">
        <v>27</v>
      </c>
      <c r="H51" s="9">
        <v>15000</v>
      </c>
      <c r="I51" s="8" cm="1">
        <f t="array" ref="I51">IF(F51 &gt;= H51,F51 * commission, 0)</f>
        <v>2399.7600000000002</v>
      </c>
    </row>
    <row r="52" spans="1:9">
      <c r="A52" s="5">
        <v>44317</v>
      </c>
      <c r="B52" s="4" t="s">
        <v>62</v>
      </c>
      <c r="C52" s="4" t="s">
        <v>63</v>
      </c>
      <c r="D52" s="4" t="s">
        <v>64</v>
      </c>
      <c r="E52" s="4" t="s">
        <v>5</v>
      </c>
      <c r="F52" s="6">
        <v>27916.399999999998</v>
      </c>
      <c r="G52" s="4" t="s">
        <v>28</v>
      </c>
      <c r="H52" s="9">
        <v>15000</v>
      </c>
      <c r="I52" s="8" cm="1">
        <f t="array" ref="I52">IF(F52 &gt;= H52,F52 * commission, 0)</f>
        <v>2791.64</v>
      </c>
    </row>
    <row r="53" spans="1:9">
      <c r="A53" s="5">
        <v>44317</v>
      </c>
      <c r="B53" s="4" t="s">
        <v>62</v>
      </c>
      <c r="C53" s="4" t="s">
        <v>63</v>
      </c>
      <c r="D53" s="4" t="s">
        <v>64</v>
      </c>
      <c r="E53" s="4" t="s">
        <v>5</v>
      </c>
      <c r="F53" s="6">
        <v>42249.1</v>
      </c>
      <c r="G53" s="4" t="s">
        <v>22</v>
      </c>
      <c r="H53" s="9">
        <v>15000</v>
      </c>
      <c r="I53" s="8" cm="1">
        <f t="array" ref="I53">IF(F53 &gt;= H53,F53 * commission, 0)</f>
        <v>4224.91</v>
      </c>
    </row>
    <row r="54" spans="1:9">
      <c r="A54" s="5">
        <v>44348</v>
      </c>
      <c r="B54" s="4" t="s">
        <v>56</v>
      </c>
      <c r="C54" s="4" t="s">
        <v>57</v>
      </c>
      <c r="D54" s="4" t="s">
        <v>58</v>
      </c>
      <c r="E54" s="4" t="s">
        <v>5</v>
      </c>
      <c r="F54" s="6">
        <v>9574.7999999999993</v>
      </c>
      <c r="G54" s="4" t="s">
        <v>22</v>
      </c>
      <c r="H54" s="9">
        <v>15000</v>
      </c>
      <c r="I54" s="8" cm="1">
        <f t="array" ref="I54">IF(F54 &gt;= H54,F54 * commission, 0)</f>
        <v>0</v>
      </c>
    </row>
    <row r="55" spans="1:9">
      <c r="A55" s="5">
        <v>44348</v>
      </c>
      <c r="B55" s="4" t="s">
        <v>56</v>
      </c>
      <c r="C55" s="4" t="s">
        <v>57</v>
      </c>
      <c r="D55" s="4" t="s">
        <v>58</v>
      </c>
      <c r="E55" s="4" t="s">
        <v>5</v>
      </c>
      <c r="F55" s="6">
        <v>14301.6</v>
      </c>
      <c r="G55" s="4" t="s">
        <v>22</v>
      </c>
      <c r="H55" s="9">
        <v>15000</v>
      </c>
      <c r="I55" s="8" cm="1">
        <f t="array" ref="I55">IF(F55 &gt;= H55,F55 * commission, 0)</f>
        <v>0</v>
      </c>
    </row>
    <row r="56" spans="1:9">
      <c r="A56" s="5">
        <v>44348</v>
      </c>
      <c r="B56" s="4" t="s">
        <v>74</v>
      </c>
      <c r="C56" s="4" t="s">
        <v>75</v>
      </c>
      <c r="D56" s="4" t="s">
        <v>76</v>
      </c>
      <c r="E56" s="4" t="s">
        <v>5</v>
      </c>
      <c r="F56" s="6">
        <v>15061.2</v>
      </c>
      <c r="G56" s="4" t="s">
        <v>22</v>
      </c>
      <c r="H56" s="9">
        <v>15000</v>
      </c>
      <c r="I56" s="8" cm="1">
        <f t="array" ref="I56">IF(F56 &gt;= H56,F56 * commission, 0)</f>
        <v>1506.1200000000001</v>
      </c>
    </row>
    <row r="57" spans="1:9">
      <c r="A57" s="5">
        <v>44348</v>
      </c>
      <c r="B57" s="4" t="s">
        <v>59</v>
      </c>
      <c r="C57" s="4" t="s">
        <v>60</v>
      </c>
      <c r="D57" s="4" t="s">
        <v>61</v>
      </c>
      <c r="E57" s="4" t="s">
        <v>5</v>
      </c>
      <c r="F57" s="6">
        <v>17262</v>
      </c>
      <c r="G57" s="4" t="s">
        <v>22</v>
      </c>
      <c r="H57" s="9">
        <v>15000</v>
      </c>
      <c r="I57" s="8" cm="1">
        <f t="array" ref="I57">IF(F57 &gt;= H57,F57 * commission, 0)</f>
        <v>1726.2</v>
      </c>
    </row>
    <row r="58" spans="1:9">
      <c r="A58" s="5">
        <v>44348</v>
      </c>
      <c r="B58" s="4" t="s">
        <v>62</v>
      </c>
      <c r="C58" s="4" t="s">
        <v>63</v>
      </c>
      <c r="D58" s="4" t="s">
        <v>64</v>
      </c>
      <c r="E58" s="4" t="s">
        <v>5</v>
      </c>
      <c r="F58" s="6">
        <v>37192.5</v>
      </c>
      <c r="G58" s="4" t="s">
        <v>28</v>
      </c>
      <c r="H58" s="9">
        <v>15000</v>
      </c>
      <c r="I58" s="8" cm="1">
        <f t="array" ref="I58">IF(F58 &gt;= H58,F58 * commission, 0)</f>
        <v>3719.25</v>
      </c>
    </row>
    <row r="59" spans="1:9">
      <c r="A59" s="5">
        <v>44348</v>
      </c>
      <c r="B59" s="4" t="s">
        <v>74</v>
      </c>
      <c r="C59" s="4" t="s">
        <v>75</v>
      </c>
      <c r="D59" s="4" t="s">
        <v>76</v>
      </c>
      <c r="E59" s="4" t="s">
        <v>5</v>
      </c>
      <c r="F59" s="6">
        <v>39653.9</v>
      </c>
      <c r="G59" s="4" t="s">
        <v>28</v>
      </c>
      <c r="H59" s="9">
        <v>15000</v>
      </c>
      <c r="I59" s="8" cm="1">
        <f t="array" ref="I59">IF(F59 &gt;= H59,F59 * commission, 0)</f>
        <v>3965.3900000000003</v>
      </c>
    </row>
    <row r="60" spans="1:9">
      <c r="A60" s="5">
        <v>44378</v>
      </c>
      <c r="B60" s="4" t="s">
        <v>74</v>
      </c>
      <c r="C60" s="4" t="s">
        <v>75</v>
      </c>
      <c r="D60" s="4" t="s">
        <v>76</v>
      </c>
      <c r="E60" s="4" t="s">
        <v>5</v>
      </c>
      <c r="F60" s="6">
        <v>3465</v>
      </c>
      <c r="G60" s="4" t="s">
        <v>22</v>
      </c>
      <c r="H60" s="9">
        <v>15000</v>
      </c>
      <c r="I60" s="8" cm="1">
        <f t="array" ref="I60">IF(F60 &gt;= H60,F60 * commission, 0)</f>
        <v>0</v>
      </c>
    </row>
    <row r="61" spans="1:9">
      <c r="A61" s="5">
        <v>44378</v>
      </c>
      <c r="B61" s="4" t="s">
        <v>59</v>
      </c>
      <c r="C61" s="4" t="s">
        <v>60</v>
      </c>
      <c r="D61" s="4" t="s">
        <v>61</v>
      </c>
      <c r="E61" s="4" t="s">
        <v>5</v>
      </c>
      <c r="F61" s="6">
        <v>5332.7999999999993</v>
      </c>
      <c r="G61" s="4" t="s">
        <v>22</v>
      </c>
      <c r="H61" s="9">
        <v>15000</v>
      </c>
      <c r="I61" s="8" cm="1">
        <f t="array" ref="I61">IF(F61 &gt;= H61,F61 * commission, 0)</f>
        <v>0</v>
      </c>
    </row>
    <row r="62" spans="1:9">
      <c r="A62" s="5">
        <v>44378</v>
      </c>
      <c r="B62" s="4" t="s">
        <v>56</v>
      </c>
      <c r="C62" s="4" t="s">
        <v>57</v>
      </c>
      <c r="D62" s="4" t="s">
        <v>58</v>
      </c>
      <c r="E62" s="4" t="s">
        <v>5</v>
      </c>
      <c r="F62" s="6">
        <v>8065.5999999999995</v>
      </c>
      <c r="G62" s="4" t="s">
        <v>28</v>
      </c>
      <c r="H62" s="9">
        <v>15000</v>
      </c>
      <c r="I62" s="8" cm="1">
        <f t="array" ref="I62">IF(F62 &gt;= H62,F62 * commission, 0)</f>
        <v>0</v>
      </c>
    </row>
    <row r="63" spans="1:9">
      <c r="A63" s="5">
        <v>44378</v>
      </c>
      <c r="B63" s="4" t="s">
        <v>56</v>
      </c>
      <c r="C63" s="4" t="s">
        <v>57</v>
      </c>
      <c r="D63" s="4" t="s">
        <v>58</v>
      </c>
      <c r="E63" s="4" t="s">
        <v>5</v>
      </c>
      <c r="F63" s="6">
        <v>10067.200000000001</v>
      </c>
      <c r="G63" s="4" t="s">
        <v>28</v>
      </c>
      <c r="H63" s="9">
        <v>15000</v>
      </c>
      <c r="I63" s="8" cm="1">
        <f t="array" ref="I63">IF(F63 &gt;= H63,F63 * commission, 0)</f>
        <v>0</v>
      </c>
    </row>
    <row r="64" spans="1:9">
      <c r="A64" s="5">
        <v>44378</v>
      </c>
      <c r="B64" s="4" t="s">
        <v>56</v>
      </c>
      <c r="C64" s="4" t="s">
        <v>57</v>
      </c>
      <c r="D64" s="4" t="s">
        <v>58</v>
      </c>
      <c r="E64" s="4" t="s">
        <v>5</v>
      </c>
      <c r="F64" s="6">
        <v>10648.999999999998</v>
      </c>
      <c r="G64" s="4" t="s">
        <v>28</v>
      </c>
      <c r="H64" s="9">
        <v>15000</v>
      </c>
      <c r="I64" s="8" cm="1">
        <f t="array" ref="I64">IF(F64 &gt;= H64,F64 * commission, 0)</f>
        <v>0</v>
      </c>
    </row>
    <row r="65" spans="1:9">
      <c r="A65" s="5">
        <v>44378</v>
      </c>
      <c r="B65" s="4" t="s">
        <v>59</v>
      </c>
      <c r="C65" s="4" t="s">
        <v>60</v>
      </c>
      <c r="D65" s="4" t="s">
        <v>61</v>
      </c>
      <c r="E65" s="4" t="s">
        <v>5</v>
      </c>
      <c r="F65" s="6">
        <v>10679.400000000001</v>
      </c>
      <c r="G65" s="4" t="s">
        <v>28</v>
      </c>
      <c r="H65" s="9">
        <v>15000</v>
      </c>
      <c r="I65" s="8" cm="1">
        <f t="array" ref="I65">IF(F65 &gt;= H65,F65 * commission, 0)</f>
        <v>0</v>
      </c>
    </row>
    <row r="66" spans="1:9">
      <c r="A66" s="5">
        <v>44378</v>
      </c>
      <c r="B66" s="4" t="s">
        <v>62</v>
      </c>
      <c r="C66" s="4" t="s">
        <v>63</v>
      </c>
      <c r="D66" s="4" t="s">
        <v>64</v>
      </c>
      <c r="E66" s="4" t="s">
        <v>5</v>
      </c>
      <c r="F66" s="6">
        <v>11155.5</v>
      </c>
      <c r="G66" s="4" t="s">
        <v>27</v>
      </c>
      <c r="H66" s="9">
        <v>15000</v>
      </c>
      <c r="I66" s="8" cm="1">
        <f t="array" ref="I66">IF(F66 &gt;= H66,F66 * commission, 0)</f>
        <v>0</v>
      </c>
    </row>
    <row r="67" spans="1:9">
      <c r="A67" s="5">
        <v>44378</v>
      </c>
      <c r="B67" s="4" t="s">
        <v>56</v>
      </c>
      <c r="C67" s="4" t="s">
        <v>57</v>
      </c>
      <c r="D67" s="4" t="s">
        <v>58</v>
      </c>
      <c r="E67" s="4" t="s">
        <v>5</v>
      </c>
      <c r="F67" s="6">
        <v>11543</v>
      </c>
      <c r="G67" s="4" t="s">
        <v>27</v>
      </c>
      <c r="H67" s="9">
        <v>15000</v>
      </c>
      <c r="I67" s="8" cm="1">
        <f t="array" ref="I67">IF(F67 &gt;= H67,F67 * commission, 0)</f>
        <v>0</v>
      </c>
    </row>
    <row r="68" spans="1:9">
      <c r="A68" s="5">
        <v>44378</v>
      </c>
      <c r="B68" s="4" t="s">
        <v>56</v>
      </c>
      <c r="C68" s="4" t="s">
        <v>57</v>
      </c>
      <c r="D68" s="4" t="s">
        <v>58</v>
      </c>
      <c r="E68" s="4" t="s">
        <v>5</v>
      </c>
      <c r="F68" s="6">
        <v>15633.199999999999</v>
      </c>
      <c r="G68" s="4" t="s">
        <v>22</v>
      </c>
      <c r="H68" s="9">
        <v>15000</v>
      </c>
      <c r="I68" s="8" cm="1">
        <f t="array" ref="I68">IF(F68 &gt;= H68,F68 * commission, 0)</f>
        <v>1563.32</v>
      </c>
    </row>
    <row r="69" spans="1:9">
      <c r="A69" s="5">
        <v>44378</v>
      </c>
      <c r="B69" s="4" t="s">
        <v>56</v>
      </c>
      <c r="C69" s="4" t="s">
        <v>57</v>
      </c>
      <c r="D69" s="4" t="s">
        <v>58</v>
      </c>
      <c r="E69" s="4" t="s">
        <v>5</v>
      </c>
      <c r="F69" s="6">
        <v>20868.399999999998</v>
      </c>
      <c r="G69" s="4" t="s">
        <v>22</v>
      </c>
      <c r="H69" s="9">
        <v>15000</v>
      </c>
      <c r="I69" s="8" cm="1">
        <f t="array" ref="I69">IF(F69 &gt;= H69,F69 * commission, 0)</f>
        <v>2086.8399999999997</v>
      </c>
    </row>
    <row r="70" spans="1:9">
      <c r="A70" s="5">
        <v>44378</v>
      </c>
      <c r="B70" s="4" t="s">
        <v>56</v>
      </c>
      <c r="C70" s="4" t="s">
        <v>57</v>
      </c>
      <c r="D70" s="4" t="s">
        <v>58</v>
      </c>
      <c r="E70" s="4" t="s">
        <v>5</v>
      </c>
      <c r="F70" s="6">
        <v>24395.100000000002</v>
      </c>
      <c r="G70" s="4" t="s">
        <v>27</v>
      </c>
      <c r="H70" s="9">
        <v>15000</v>
      </c>
      <c r="I70" s="8" cm="1">
        <f t="array" ref="I70">IF(F70 &gt;= H70,F70 * commission, 0)</f>
        <v>2439.5100000000002</v>
      </c>
    </row>
    <row r="71" spans="1:9">
      <c r="A71" s="5">
        <v>44409</v>
      </c>
      <c r="B71" s="4" t="s">
        <v>56</v>
      </c>
      <c r="C71" s="4" t="s">
        <v>57</v>
      </c>
      <c r="D71" s="4" t="s">
        <v>58</v>
      </c>
      <c r="E71" s="4" t="s">
        <v>5</v>
      </c>
      <c r="F71" s="6">
        <v>3760.5</v>
      </c>
      <c r="G71" s="4" t="s">
        <v>27</v>
      </c>
      <c r="H71" s="9">
        <v>15000</v>
      </c>
      <c r="I71" s="8" cm="1">
        <f t="array" ref="I71">IF(F71 &gt;= H71,F71 * commission, 0)</f>
        <v>0</v>
      </c>
    </row>
    <row r="72" spans="1:9">
      <c r="A72" s="5">
        <v>44409</v>
      </c>
      <c r="B72" s="4" t="s">
        <v>56</v>
      </c>
      <c r="C72" s="4" t="s">
        <v>57</v>
      </c>
      <c r="D72" s="4" t="s">
        <v>58</v>
      </c>
      <c r="E72" s="4" t="s">
        <v>5</v>
      </c>
      <c r="F72" s="6">
        <v>4322.8</v>
      </c>
      <c r="G72" s="4" t="s">
        <v>28</v>
      </c>
      <c r="H72" s="9">
        <v>15000</v>
      </c>
      <c r="I72" s="8" cm="1">
        <f t="array" ref="I72">IF(F72 &gt;= H72,F72 * commission, 0)</f>
        <v>0</v>
      </c>
    </row>
    <row r="73" spans="1:9">
      <c r="A73" s="5">
        <v>44409</v>
      </c>
      <c r="B73" s="4" t="s">
        <v>56</v>
      </c>
      <c r="C73" s="4" t="s">
        <v>57</v>
      </c>
      <c r="D73" s="4" t="s">
        <v>58</v>
      </c>
      <c r="E73" s="4" t="s">
        <v>5</v>
      </c>
      <c r="F73" s="6">
        <v>9697.6</v>
      </c>
      <c r="G73" s="4" t="s">
        <v>22</v>
      </c>
      <c r="H73" s="9">
        <v>15000</v>
      </c>
      <c r="I73" s="8" cm="1">
        <f t="array" ref="I73">IF(F73 &gt;= H73,F73 * commission, 0)</f>
        <v>0</v>
      </c>
    </row>
    <row r="74" spans="1:9">
      <c r="A74" s="5">
        <v>44409</v>
      </c>
      <c r="B74" s="4" t="s">
        <v>56</v>
      </c>
      <c r="C74" s="4" t="s">
        <v>57</v>
      </c>
      <c r="D74" s="4" t="s">
        <v>58</v>
      </c>
      <c r="E74" s="4" t="s">
        <v>5</v>
      </c>
      <c r="F74" s="6">
        <v>10391.699999999999</v>
      </c>
      <c r="G74" s="4" t="s">
        <v>28</v>
      </c>
      <c r="H74" s="9">
        <v>15000</v>
      </c>
      <c r="I74" s="8" cm="1">
        <f t="array" ref="I74">IF(F74 &gt;= H74,F74 * commission, 0)</f>
        <v>0</v>
      </c>
    </row>
    <row r="75" spans="1:9">
      <c r="A75" s="5">
        <v>44409</v>
      </c>
      <c r="B75" s="4" t="s">
        <v>62</v>
      </c>
      <c r="C75" s="4" t="s">
        <v>63</v>
      </c>
      <c r="D75" s="4" t="s">
        <v>64</v>
      </c>
      <c r="E75" s="4" t="s">
        <v>5</v>
      </c>
      <c r="F75" s="6">
        <v>15670.2</v>
      </c>
      <c r="G75" s="4" t="s">
        <v>28</v>
      </c>
      <c r="H75" s="9">
        <v>15000</v>
      </c>
      <c r="I75" s="8" cm="1">
        <f t="array" ref="I75">IF(F75 &gt;= H75,F75 * commission, 0)</f>
        <v>1567.0200000000002</v>
      </c>
    </row>
    <row r="76" spans="1:9">
      <c r="A76" s="5">
        <v>44409</v>
      </c>
      <c r="B76" s="4" t="s">
        <v>59</v>
      </c>
      <c r="C76" s="4" t="s">
        <v>60</v>
      </c>
      <c r="D76" s="4" t="s">
        <v>61</v>
      </c>
      <c r="E76" s="4" t="s">
        <v>5</v>
      </c>
      <c r="F76" s="6">
        <v>22477.9</v>
      </c>
      <c r="G76" s="4" t="s">
        <v>22</v>
      </c>
      <c r="H76" s="9">
        <v>15000</v>
      </c>
      <c r="I76" s="8" cm="1">
        <f t="array" ref="I76">IF(F76 &gt;= H76,F76 * commission, 0)</f>
        <v>2247.7900000000004</v>
      </c>
    </row>
    <row r="77" spans="1:9">
      <c r="A77" s="5">
        <v>44409</v>
      </c>
      <c r="B77" s="4" t="s">
        <v>59</v>
      </c>
      <c r="C77" s="4" t="s">
        <v>60</v>
      </c>
      <c r="D77" s="4" t="s">
        <v>61</v>
      </c>
      <c r="E77" s="4" t="s">
        <v>5</v>
      </c>
      <c r="F77" s="6">
        <v>36088.1</v>
      </c>
      <c r="G77" s="4" t="s">
        <v>28</v>
      </c>
      <c r="H77" s="9">
        <v>15000</v>
      </c>
      <c r="I77" s="8" cm="1">
        <f t="array" ref="I77">IF(F77 &gt;= H77,F77 * commission, 0)</f>
        <v>3608.81</v>
      </c>
    </row>
    <row r="78" spans="1:9">
      <c r="A78" s="5">
        <v>44409</v>
      </c>
      <c r="B78" s="4" t="s">
        <v>53</v>
      </c>
      <c r="C78" s="4" t="s">
        <v>54</v>
      </c>
      <c r="D78" s="4" t="s">
        <v>55</v>
      </c>
      <c r="E78" s="4" t="s">
        <v>5</v>
      </c>
      <c r="F78" s="6">
        <v>43388.100000000006</v>
      </c>
      <c r="G78" s="4" t="s">
        <v>22</v>
      </c>
      <c r="H78" s="9">
        <v>15000</v>
      </c>
      <c r="I78" s="8" cm="1">
        <f t="array" ref="I78">IF(F78 &gt;= H78,F78 * commission, 0)</f>
        <v>4338.8100000000004</v>
      </c>
    </row>
    <row r="79" spans="1:9">
      <c r="A79" s="5">
        <v>44440</v>
      </c>
      <c r="B79" s="4" t="s">
        <v>74</v>
      </c>
      <c r="C79" s="4" t="s">
        <v>75</v>
      </c>
      <c r="D79" s="4" t="s">
        <v>76</v>
      </c>
      <c r="E79" s="4" t="s">
        <v>5</v>
      </c>
      <c r="F79" s="6">
        <v>7714</v>
      </c>
      <c r="G79" s="4" t="s">
        <v>27</v>
      </c>
      <c r="H79" s="9">
        <v>15000</v>
      </c>
      <c r="I79" s="8" cm="1">
        <f t="array" ref="I79">IF(F79 &gt;= H79,F79 * commission, 0)</f>
        <v>0</v>
      </c>
    </row>
    <row r="80" spans="1:9">
      <c r="A80" s="5">
        <v>44440</v>
      </c>
      <c r="B80" s="4" t="s">
        <v>53</v>
      </c>
      <c r="C80" s="4" t="s">
        <v>54</v>
      </c>
      <c r="D80" s="4" t="s">
        <v>55</v>
      </c>
      <c r="E80" s="4" t="s">
        <v>5</v>
      </c>
      <c r="F80" s="6">
        <v>15152.399999999998</v>
      </c>
      <c r="G80" s="4" t="s">
        <v>28</v>
      </c>
      <c r="H80" s="9">
        <v>15000</v>
      </c>
      <c r="I80" s="8" cm="1">
        <f t="array" ref="I80">IF(F80 &gt;= H80,F80 * commission, 0)</f>
        <v>1515.2399999999998</v>
      </c>
    </row>
    <row r="81" spans="1:9">
      <c r="A81" s="5">
        <v>44440</v>
      </c>
      <c r="B81" s="4" t="s">
        <v>56</v>
      </c>
      <c r="C81" s="4" t="s">
        <v>57</v>
      </c>
      <c r="D81" s="4" t="s">
        <v>58</v>
      </c>
      <c r="E81" s="4" t="s">
        <v>5</v>
      </c>
      <c r="F81" s="6">
        <v>16363.900000000001</v>
      </c>
      <c r="G81" s="4" t="s">
        <v>27</v>
      </c>
      <c r="H81" s="9">
        <v>15000</v>
      </c>
      <c r="I81" s="8" cm="1">
        <f t="array" ref="I81">IF(F81 &gt;= H81,F81 * commission, 0)</f>
        <v>1636.3900000000003</v>
      </c>
    </row>
    <row r="82" spans="1:9">
      <c r="A82" s="5">
        <v>44470</v>
      </c>
      <c r="B82" s="4" t="s">
        <v>53</v>
      </c>
      <c r="C82" s="4" t="s">
        <v>54</v>
      </c>
      <c r="D82" s="4" t="s">
        <v>55</v>
      </c>
      <c r="E82" s="4" t="s">
        <v>5</v>
      </c>
      <c r="F82" s="6">
        <v>2997.2</v>
      </c>
      <c r="G82" s="4" t="s">
        <v>27</v>
      </c>
      <c r="H82" s="9">
        <v>15000</v>
      </c>
      <c r="I82" s="8" cm="1">
        <f t="array" ref="I82">IF(F82 &gt;= H82,F82 * commission, 0)</f>
        <v>0</v>
      </c>
    </row>
    <row r="83" spans="1:9">
      <c r="A83" s="5">
        <v>44470</v>
      </c>
      <c r="B83" s="4" t="s">
        <v>74</v>
      </c>
      <c r="C83" s="4" t="s">
        <v>75</v>
      </c>
      <c r="D83" s="4" t="s">
        <v>76</v>
      </c>
      <c r="E83" s="4" t="s">
        <v>5</v>
      </c>
      <c r="F83" s="6">
        <v>7195.9999999999991</v>
      </c>
      <c r="G83" s="4" t="s">
        <v>22</v>
      </c>
      <c r="H83" s="9">
        <v>15000</v>
      </c>
      <c r="I83" s="8" cm="1">
        <f t="array" ref="I83">IF(F83 &gt;= H83,F83 * commission, 0)</f>
        <v>0</v>
      </c>
    </row>
    <row r="84" spans="1:9">
      <c r="A84" s="5">
        <v>44470</v>
      </c>
      <c r="B84" s="4" t="s">
        <v>59</v>
      </c>
      <c r="C84" s="4" t="s">
        <v>60</v>
      </c>
      <c r="D84" s="4" t="s">
        <v>61</v>
      </c>
      <c r="E84" s="4" t="s">
        <v>5</v>
      </c>
      <c r="F84" s="6">
        <v>10595.2</v>
      </c>
      <c r="G84" s="4" t="s">
        <v>28</v>
      </c>
      <c r="H84" s="9">
        <v>15000</v>
      </c>
      <c r="I84" s="8" cm="1">
        <f t="array" ref="I84">IF(F84 &gt;= H84,F84 * commission, 0)</f>
        <v>0</v>
      </c>
    </row>
    <row r="85" spans="1:9">
      <c r="A85" s="5">
        <v>44470</v>
      </c>
      <c r="B85" s="4" t="s">
        <v>74</v>
      </c>
      <c r="C85" s="4" t="s">
        <v>75</v>
      </c>
      <c r="D85" s="4" t="s">
        <v>76</v>
      </c>
      <c r="E85" s="4" t="s">
        <v>5</v>
      </c>
      <c r="F85" s="6">
        <v>10694.7</v>
      </c>
      <c r="G85" s="4" t="s">
        <v>28</v>
      </c>
      <c r="H85" s="9">
        <v>15000</v>
      </c>
      <c r="I85" s="8" cm="1">
        <f t="array" ref="I85">IF(F85 &gt;= H85,F85 * commission, 0)</f>
        <v>0</v>
      </c>
    </row>
    <row r="86" spans="1:9">
      <c r="A86" s="5">
        <v>44470</v>
      </c>
      <c r="B86" s="4" t="s">
        <v>59</v>
      </c>
      <c r="C86" s="4" t="s">
        <v>60</v>
      </c>
      <c r="D86" s="4" t="s">
        <v>61</v>
      </c>
      <c r="E86" s="4" t="s">
        <v>5</v>
      </c>
      <c r="F86" s="6">
        <v>14235.4</v>
      </c>
      <c r="G86" s="4" t="s">
        <v>28</v>
      </c>
      <c r="H86" s="9">
        <v>15000</v>
      </c>
      <c r="I86" s="8" cm="1">
        <f t="array" ref="I86">IF(F86 &gt;= H86,F86 * commission, 0)</f>
        <v>0</v>
      </c>
    </row>
    <row r="87" spans="1:9">
      <c r="A87" s="5">
        <v>44470</v>
      </c>
      <c r="B87" s="4" t="s">
        <v>59</v>
      </c>
      <c r="C87" s="4" t="s">
        <v>60</v>
      </c>
      <c r="D87" s="4" t="s">
        <v>61</v>
      </c>
      <c r="E87" s="4" t="s">
        <v>5</v>
      </c>
      <c r="F87" s="6">
        <v>36530.199999999997</v>
      </c>
      <c r="G87" s="4" t="s">
        <v>22</v>
      </c>
      <c r="H87" s="9">
        <v>15000</v>
      </c>
      <c r="I87" s="8" cm="1">
        <f t="array" ref="I87">IF(F87 &gt;= H87,F87 * commission, 0)</f>
        <v>3653.02</v>
      </c>
    </row>
    <row r="88" spans="1:9">
      <c r="A88" s="5">
        <v>44470</v>
      </c>
      <c r="B88" s="4" t="s">
        <v>62</v>
      </c>
      <c r="C88" s="4" t="s">
        <v>63</v>
      </c>
      <c r="D88" s="4" t="s">
        <v>64</v>
      </c>
      <c r="E88" s="4" t="s">
        <v>5</v>
      </c>
      <c r="F88" s="6">
        <v>36896.199999999997</v>
      </c>
      <c r="G88" s="4" t="s">
        <v>28</v>
      </c>
      <c r="H88" s="9">
        <v>15000</v>
      </c>
      <c r="I88" s="8" cm="1">
        <f t="array" ref="I88">IF(F88 &gt;= H88,F88 * commission, 0)</f>
        <v>3689.62</v>
      </c>
    </row>
    <row r="89" spans="1:9">
      <c r="A89" s="5">
        <v>44470</v>
      </c>
      <c r="B89" s="4" t="s">
        <v>53</v>
      </c>
      <c r="C89" s="4" t="s">
        <v>54</v>
      </c>
      <c r="D89" s="4" t="s">
        <v>55</v>
      </c>
      <c r="E89" s="4" t="s">
        <v>5</v>
      </c>
      <c r="F89" s="6">
        <v>41420.699999999997</v>
      </c>
      <c r="G89" s="4" t="s">
        <v>27</v>
      </c>
      <c r="H89" s="9">
        <v>15000</v>
      </c>
      <c r="I89" s="8" cm="1">
        <f t="array" ref="I89">IF(F89 &gt;= H89,F89 * commission, 0)</f>
        <v>4142.07</v>
      </c>
    </row>
    <row r="90" spans="1:9">
      <c r="A90" s="5">
        <v>44501</v>
      </c>
      <c r="B90" s="4" t="s">
        <v>59</v>
      </c>
      <c r="C90" s="4" t="s">
        <v>60</v>
      </c>
      <c r="D90" s="4" t="s">
        <v>61</v>
      </c>
      <c r="E90" s="4" t="s">
        <v>5</v>
      </c>
      <c r="F90" s="6">
        <v>6900</v>
      </c>
      <c r="G90" s="4" t="s">
        <v>22</v>
      </c>
      <c r="H90" s="9">
        <v>15000</v>
      </c>
      <c r="I90" s="8" cm="1">
        <f t="array" ref="I90">IF(F90 &gt;= H90,F90 * commission, 0)</f>
        <v>0</v>
      </c>
    </row>
    <row r="91" spans="1:9">
      <c r="A91" s="5">
        <v>44501</v>
      </c>
      <c r="B91" s="4" t="s">
        <v>62</v>
      </c>
      <c r="C91" s="4" t="s">
        <v>63</v>
      </c>
      <c r="D91" s="4" t="s">
        <v>64</v>
      </c>
      <c r="E91" s="4" t="s">
        <v>5</v>
      </c>
      <c r="F91" s="6">
        <v>9683</v>
      </c>
      <c r="G91" s="4" t="s">
        <v>28</v>
      </c>
      <c r="H91" s="9">
        <v>15000</v>
      </c>
      <c r="I91" s="8" cm="1">
        <f t="array" ref="I91">IF(F91 &gt;= H91,F91 * commission, 0)</f>
        <v>0</v>
      </c>
    </row>
    <row r="92" spans="1:9">
      <c r="A92" s="5">
        <v>44501</v>
      </c>
      <c r="B92" s="4" t="s">
        <v>56</v>
      </c>
      <c r="C92" s="4" t="s">
        <v>57</v>
      </c>
      <c r="D92" s="4" t="s">
        <v>58</v>
      </c>
      <c r="E92" s="4" t="s">
        <v>5</v>
      </c>
      <c r="F92" s="6">
        <v>14302.9</v>
      </c>
      <c r="G92" s="4" t="s">
        <v>27</v>
      </c>
      <c r="H92" s="9">
        <v>15000</v>
      </c>
      <c r="I92" s="8" cm="1">
        <f t="array" ref="I92">IF(F92 &gt;= H92,F92 * commission, 0)</f>
        <v>0</v>
      </c>
    </row>
    <row r="93" spans="1:9">
      <c r="A93" s="5">
        <v>44501</v>
      </c>
      <c r="B93" s="4" t="s">
        <v>53</v>
      </c>
      <c r="C93" s="4" t="s">
        <v>54</v>
      </c>
      <c r="D93" s="4" t="s">
        <v>55</v>
      </c>
      <c r="E93" s="4" t="s">
        <v>5</v>
      </c>
      <c r="F93" s="6">
        <v>16806.400000000001</v>
      </c>
      <c r="G93" s="4" t="s">
        <v>27</v>
      </c>
      <c r="H93" s="9">
        <v>15000</v>
      </c>
      <c r="I93" s="8" cm="1">
        <f t="array" ref="I93">IF(F93 &gt;= H93,F93 * commission, 0)</f>
        <v>1680.6400000000003</v>
      </c>
    </row>
    <row r="94" spans="1:9">
      <c r="A94" s="5">
        <v>44501</v>
      </c>
      <c r="B94" s="4" t="s">
        <v>74</v>
      </c>
      <c r="C94" s="4" t="s">
        <v>75</v>
      </c>
      <c r="D94" s="4" t="s">
        <v>76</v>
      </c>
      <c r="E94" s="4" t="s">
        <v>5</v>
      </c>
      <c r="F94" s="6">
        <v>20797.200000000004</v>
      </c>
      <c r="G94" s="4" t="s">
        <v>22</v>
      </c>
      <c r="H94" s="9">
        <v>15000</v>
      </c>
      <c r="I94" s="8" cm="1">
        <f t="array" ref="I94">IF(F94 &gt;= H94,F94 * commission, 0)</f>
        <v>2079.7200000000007</v>
      </c>
    </row>
    <row r="95" spans="1:9">
      <c r="A95" s="5">
        <v>44501</v>
      </c>
      <c r="B95" s="4" t="s">
        <v>62</v>
      </c>
      <c r="C95" s="4" t="s">
        <v>63</v>
      </c>
      <c r="D95" s="4" t="s">
        <v>64</v>
      </c>
      <c r="E95" s="4" t="s">
        <v>5</v>
      </c>
      <c r="F95" s="6">
        <v>26866</v>
      </c>
      <c r="G95" s="4" t="s">
        <v>28</v>
      </c>
      <c r="H95" s="9">
        <v>15000</v>
      </c>
      <c r="I95" s="8" cm="1">
        <f t="array" ref="I95">IF(F95 &gt;= H95,F95 * commission, 0)</f>
        <v>2686.6000000000004</v>
      </c>
    </row>
  </sheetData>
  <conditionalFormatting sqref="F1:F1048576">
    <cfRule type="top10" dxfId="21" priority="1" rank="5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BA4A3-1F7D-4F87-84B7-A00DBE890EF5}">
  <dimension ref="A1:C2"/>
  <sheetViews>
    <sheetView workbookViewId="0"/>
  </sheetViews>
  <sheetFormatPr defaultRowHeight="15"/>
  <cols>
    <col min="1" max="1" width="16.42578125" bestFit="1" customWidth="1"/>
    <col min="2" max="2" width="10.140625" bestFit="1" customWidth="1"/>
    <col min="3" max="3" width="16.42578125" bestFit="1" customWidth="1"/>
    <col min="4" max="4" width="10.140625" bestFit="1" customWidth="1"/>
  </cols>
  <sheetData>
    <row r="1" spans="1:3">
      <c r="A1" t="s">
        <v>95</v>
      </c>
      <c r="B1" t="s">
        <v>96</v>
      </c>
      <c r="C1" t="s">
        <v>97</v>
      </c>
    </row>
    <row r="2" spans="1:3">
      <c r="A2" t="s">
        <v>98</v>
      </c>
      <c r="B2">
        <v>7286551</v>
      </c>
      <c r="C2">
        <v>572080.04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A286-3F46-4C29-B0CA-BCD3C8676673}">
  <dimension ref="A1:L751"/>
  <sheetViews>
    <sheetView workbookViewId="0"/>
  </sheetViews>
  <sheetFormatPr defaultRowHeight="15"/>
  <cols>
    <col min="1" max="1" width="10.42578125" bestFit="1" customWidth="1"/>
    <col min="2" max="2" width="15.7109375" style="2" bestFit="1" customWidth="1"/>
    <col min="3" max="3" width="12.85546875" style="2" bestFit="1" customWidth="1"/>
    <col min="4" max="4" width="12.42578125" style="2" bestFit="1" customWidth="1"/>
    <col min="5" max="5" width="12.28515625" style="2" bestFit="1" customWidth="1"/>
    <col min="6" max="6" width="15.42578125" style="7" bestFit="1" customWidth="1"/>
    <col min="7" max="7" width="15.85546875" style="2" bestFit="1" customWidth="1"/>
    <col min="8" max="8" width="9.7109375" style="7" bestFit="1" customWidth="1"/>
    <col min="9" max="9" width="14.85546875" style="7" bestFit="1" customWidth="1"/>
    <col min="10" max="10" width="13.85546875" style="12" bestFit="1" customWidth="1"/>
  </cols>
  <sheetData>
    <row r="1" spans="1:1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s="12" t="s">
        <v>99</v>
      </c>
    </row>
    <row r="2" spans="1:12">
      <c r="A2" s="5">
        <v>44197</v>
      </c>
      <c r="B2" s="4" t="s">
        <v>19</v>
      </c>
      <c r="C2" s="4" t="s">
        <v>20</v>
      </c>
      <c r="D2" s="4" t="s">
        <v>21</v>
      </c>
      <c r="E2" s="4" t="s">
        <v>4</v>
      </c>
      <c r="F2" s="6">
        <v>2954.7</v>
      </c>
      <c r="G2" s="4" t="s">
        <v>22</v>
      </c>
      <c r="H2" s="8" t="s">
        <v>23</v>
      </c>
      <c r="I2" s="8" cm="1">
        <f t="array" ref="I2">IF(F2 &gt;= H2,F2 * commission, 0)</f>
        <v>0</v>
      </c>
      <c r="J2" s="13">
        <f>Sales_Data[[#This Row],[Sales Amount]] - Sales_Data[[#This Row],[Targets]]</f>
        <v>-12045.3</v>
      </c>
    </row>
    <row r="3" spans="1:12">
      <c r="A3" s="5">
        <v>44197</v>
      </c>
      <c r="B3" s="4" t="s">
        <v>24</v>
      </c>
      <c r="C3" s="4" t="s">
        <v>25</v>
      </c>
      <c r="D3" s="4" t="s">
        <v>26</v>
      </c>
      <c r="E3" s="4" t="s">
        <v>4</v>
      </c>
      <c r="F3" s="6">
        <v>6796.7999999999993</v>
      </c>
      <c r="G3" s="4" t="s">
        <v>27</v>
      </c>
      <c r="H3" s="9">
        <v>15000</v>
      </c>
      <c r="I3" s="8" cm="1">
        <f t="array" ref="I3">IF(F3 &gt;= H3,F3 * commission, 0)</f>
        <v>0</v>
      </c>
      <c r="J3" s="13">
        <f>Sales_Data[[#This Row],[Sales Amount]] - Sales_Data[[#This Row],[Targets]]</f>
        <v>-8203.2000000000007</v>
      </c>
    </row>
    <row r="4" spans="1:12">
      <c r="A4" s="5">
        <v>44197</v>
      </c>
      <c r="B4" s="4" t="s">
        <v>24</v>
      </c>
      <c r="C4" s="4" t="s">
        <v>25</v>
      </c>
      <c r="D4" s="4" t="s">
        <v>26</v>
      </c>
      <c r="E4" s="4" t="s">
        <v>4</v>
      </c>
      <c r="F4" s="6">
        <v>8188</v>
      </c>
      <c r="G4" s="4" t="s">
        <v>28</v>
      </c>
      <c r="H4" s="9">
        <v>15000</v>
      </c>
      <c r="I4" s="8" cm="1">
        <f t="array" ref="I4">IF(F4 &gt;= H4,F4 * commission, 0)</f>
        <v>0</v>
      </c>
      <c r="J4" s="13">
        <f>Sales_Data[[#This Row],[Sales Amount]] - Sales_Data[[#This Row],[Targets]]</f>
        <v>-6812</v>
      </c>
    </row>
    <row r="5" spans="1:12">
      <c r="A5" s="5">
        <v>44197</v>
      </c>
      <c r="B5" s="4" t="s">
        <v>19</v>
      </c>
      <c r="C5" s="4" t="s">
        <v>20</v>
      </c>
      <c r="D5" s="4" t="s">
        <v>21</v>
      </c>
      <c r="E5" s="4" t="s">
        <v>4</v>
      </c>
      <c r="F5" s="6">
        <v>9058.4</v>
      </c>
      <c r="G5" s="4" t="s">
        <v>27</v>
      </c>
      <c r="H5" s="9">
        <v>15000</v>
      </c>
      <c r="I5" s="8" cm="1">
        <f t="array" ref="I5">IF(F5 &gt;= H5,F5 * commission, 0)</f>
        <v>0</v>
      </c>
      <c r="J5" s="13">
        <f>Sales_Data[[#This Row],[Sales Amount]] - Sales_Data[[#This Row],[Targets]]</f>
        <v>-5941.6</v>
      </c>
    </row>
    <row r="6" spans="1:12">
      <c r="A6" s="5">
        <v>44197</v>
      </c>
      <c r="B6" s="4" t="s">
        <v>24</v>
      </c>
      <c r="C6" s="4" t="s">
        <v>25</v>
      </c>
      <c r="D6" s="4" t="s">
        <v>26</v>
      </c>
      <c r="E6" s="4" t="s">
        <v>4</v>
      </c>
      <c r="F6" s="6">
        <v>12096</v>
      </c>
      <c r="G6" s="4" t="s">
        <v>28</v>
      </c>
      <c r="H6" s="9">
        <v>15000</v>
      </c>
      <c r="I6" s="8" cm="1">
        <f t="array" ref="I6">IF(F6 &gt;= H6,F6 * commission, 0)</f>
        <v>0</v>
      </c>
      <c r="J6" s="13">
        <f>Sales_Data[[#This Row],[Sales Amount]] - Sales_Data[[#This Row],[Targets]]</f>
        <v>-2904</v>
      </c>
    </row>
    <row r="7" spans="1:12">
      <c r="A7" s="5">
        <v>44197</v>
      </c>
      <c r="B7" s="4" t="s">
        <v>29</v>
      </c>
      <c r="C7" s="4" t="s">
        <v>30</v>
      </c>
      <c r="D7" s="4" t="s">
        <v>31</v>
      </c>
      <c r="E7" s="4" t="s">
        <v>4</v>
      </c>
      <c r="F7" s="6">
        <v>15029</v>
      </c>
      <c r="G7" s="4" t="s">
        <v>22</v>
      </c>
      <c r="H7" s="9">
        <v>15000</v>
      </c>
      <c r="I7" s="8" cm="1">
        <f t="array" ref="I7">IF(F7 &gt;= H7,F7 * commission, 0)</f>
        <v>1502.9</v>
      </c>
      <c r="J7" s="13">
        <f>Sales_Data[[#This Row],[Sales Amount]] - Sales_Data[[#This Row],[Targets]]</f>
        <v>29</v>
      </c>
    </row>
    <row r="8" spans="1:12">
      <c r="A8" s="5">
        <v>44197</v>
      </c>
      <c r="B8" s="4" t="s">
        <v>29</v>
      </c>
      <c r="C8" s="4" t="s">
        <v>30</v>
      </c>
      <c r="D8" s="4" t="s">
        <v>31</v>
      </c>
      <c r="E8" s="4" t="s">
        <v>4</v>
      </c>
      <c r="F8" s="6">
        <v>15264</v>
      </c>
      <c r="G8" s="4" t="s">
        <v>22</v>
      </c>
      <c r="H8" s="9">
        <v>15000</v>
      </c>
      <c r="I8" s="8" cm="1">
        <f t="array" ref="I8">IF(F8 &gt;= H8,F8 * commission, 0)</f>
        <v>1526.4</v>
      </c>
      <c r="J8" s="13">
        <f>Sales_Data[[#This Row],[Sales Amount]] - Sales_Data[[#This Row],[Targets]]</f>
        <v>264</v>
      </c>
      <c r="L8" s="10">
        <v>0.1</v>
      </c>
    </row>
    <row r="9" spans="1:12">
      <c r="A9" s="5">
        <v>44197</v>
      </c>
      <c r="B9" s="4" t="s">
        <v>29</v>
      </c>
      <c r="C9" s="4" t="s">
        <v>30</v>
      </c>
      <c r="D9" s="4" t="s">
        <v>31</v>
      </c>
      <c r="E9" s="4" t="s">
        <v>4</v>
      </c>
      <c r="F9" s="6">
        <v>17353.599999999999</v>
      </c>
      <c r="G9" s="4" t="s">
        <v>27</v>
      </c>
      <c r="H9" s="9">
        <v>15000</v>
      </c>
      <c r="I9" s="8" cm="1">
        <f t="array" ref="I9">IF(F9 &gt;= H9,F9 * commission, 0)</f>
        <v>1735.36</v>
      </c>
      <c r="J9" s="13">
        <f>Sales_Data[[#This Row],[Sales Amount]] - Sales_Data[[#This Row],[Targets]]</f>
        <v>2353.5999999999985</v>
      </c>
    </row>
    <row r="10" spans="1:12">
      <c r="A10" s="5">
        <v>44197</v>
      </c>
      <c r="B10" s="4" t="s">
        <v>32</v>
      </c>
      <c r="C10" s="4" t="s">
        <v>33</v>
      </c>
      <c r="D10" s="4" t="s">
        <v>34</v>
      </c>
      <c r="E10" s="4" t="s">
        <v>4</v>
      </c>
      <c r="F10" s="6">
        <v>20140</v>
      </c>
      <c r="G10" s="4" t="s">
        <v>28</v>
      </c>
      <c r="H10" s="9">
        <v>15000</v>
      </c>
      <c r="I10" s="8" cm="1">
        <f t="array" ref="I10">IF(F10 &gt;= H10,F10 * commission, 0)</f>
        <v>2014</v>
      </c>
      <c r="J10" s="13">
        <f>Sales_Data[[#This Row],[Sales Amount]] - Sales_Data[[#This Row],[Targets]]</f>
        <v>5140</v>
      </c>
    </row>
    <row r="11" spans="1:12">
      <c r="A11" s="5">
        <v>44197</v>
      </c>
      <c r="B11" s="4" t="s">
        <v>32</v>
      </c>
      <c r="C11" s="4" t="s">
        <v>33</v>
      </c>
      <c r="D11" s="4" t="s">
        <v>34</v>
      </c>
      <c r="E11" s="4" t="s">
        <v>4</v>
      </c>
      <c r="F11" s="6">
        <v>35649</v>
      </c>
      <c r="G11" s="4" t="s">
        <v>27</v>
      </c>
      <c r="H11" s="9">
        <v>15000</v>
      </c>
      <c r="I11" s="8" cm="1">
        <f t="array" ref="I11">IF(F11 &gt;= H11,F11 * commission, 0)</f>
        <v>3564.9</v>
      </c>
      <c r="J11" s="13">
        <f>Sales_Data[[#This Row],[Sales Amount]] - Sales_Data[[#This Row],[Targets]]</f>
        <v>20649</v>
      </c>
    </row>
    <row r="12" spans="1:12">
      <c r="A12" s="5">
        <v>44197</v>
      </c>
      <c r="B12" s="4" t="s">
        <v>35</v>
      </c>
      <c r="C12" s="4" t="s">
        <v>36</v>
      </c>
      <c r="D12" s="4" t="s">
        <v>37</v>
      </c>
      <c r="E12" s="4" t="s">
        <v>2</v>
      </c>
      <c r="F12" s="6">
        <v>13310.4</v>
      </c>
      <c r="G12" s="4" t="s">
        <v>27</v>
      </c>
      <c r="H12" s="9">
        <v>15000</v>
      </c>
      <c r="I12" s="8" cm="1">
        <f t="array" ref="I12">IF(F12 &gt;= H12,F12 * commission, 0)</f>
        <v>0</v>
      </c>
      <c r="J12" s="13">
        <f>Sales_Data[[#This Row],[Sales Amount]] - Sales_Data[[#This Row],[Targets]]</f>
        <v>-1689.6000000000004</v>
      </c>
    </row>
    <row r="13" spans="1:12">
      <c r="A13" s="5">
        <v>44197</v>
      </c>
      <c r="B13" s="4" t="s">
        <v>38</v>
      </c>
      <c r="C13" s="4" t="s">
        <v>39</v>
      </c>
      <c r="D13" s="4" t="s">
        <v>40</v>
      </c>
      <c r="E13" s="4" t="s">
        <v>2</v>
      </c>
      <c r="F13" s="6">
        <v>20366.100000000002</v>
      </c>
      <c r="G13" s="4" t="s">
        <v>28</v>
      </c>
      <c r="H13" s="9">
        <v>15000</v>
      </c>
      <c r="I13" s="8" cm="1">
        <f t="array" ref="I13">IF(F13 &gt;= H13,F13 * commission, 0)</f>
        <v>2036.6100000000004</v>
      </c>
      <c r="J13" s="13">
        <f>Sales_Data[[#This Row],[Sales Amount]] - Sales_Data[[#This Row],[Targets]]</f>
        <v>5366.1000000000022</v>
      </c>
    </row>
    <row r="14" spans="1:12">
      <c r="A14" s="5">
        <v>44197</v>
      </c>
      <c r="B14" s="4" t="s">
        <v>38</v>
      </c>
      <c r="C14" s="4" t="s">
        <v>39</v>
      </c>
      <c r="D14" s="4" t="s">
        <v>40</v>
      </c>
      <c r="E14" s="4" t="s">
        <v>2</v>
      </c>
      <c r="F14" s="6">
        <v>20880</v>
      </c>
      <c r="G14" s="4" t="s">
        <v>27</v>
      </c>
      <c r="H14" s="9">
        <v>15000</v>
      </c>
      <c r="I14" s="8" cm="1">
        <f t="array" ref="I14">IF(F14 &gt;= H14,F14 * commission, 0)</f>
        <v>2088</v>
      </c>
      <c r="J14" s="13">
        <f>Sales_Data[[#This Row],[Sales Amount]] - Sales_Data[[#This Row],[Targets]]</f>
        <v>5880</v>
      </c>
    </row>
    <row r="15" spans="1:12">
      <c r="A15" s="5">
        <v>44197</v>
      </c>
      <c r="B15" s="4" t="s">
        <v>35</v>
      </c>
      <c r="C15" s="4" t="s">
        <v>36</v>
      </c>
      <c r="D15" s="4" t="s">
        <v>37</v>
      </c>
      <c r="E15" s="4" t="s">
        <v>2</v>
      </c>
      <c r="F15" s="6">
        <v>23076.199999999997</v>
      </c>
      <c r="G15" s="4" t="s">
        <v>27</v>
      </c>
      <c r="H15" s="9">
        <v>15000</v>
      </c>
      <c r="I15" s="8" cm="1">
        <f t="array" ref="I15">IF(F15 &gt;= H15,F15 * commission, 0)</f>
        <v>2307.62</v>
      </c>
      <c r="J15" s="13">
        <f>Sales_Data[[#This Row],[Sales Amount]] - Sales_Data[[#This Row],[Targets]]</f>
        <v>8076.1999999999971</v>
      </c>
    </row>
    <row r="16" spans="1:12">
      <c r="A16" s="5">
        <v>44197</v>
      </c>
      <c r="B16" s="4" t="s">
        <v>35</v>
      </c>
      <c r="C16" s="4" t="s">
        <v>36</v>
      </c>
      <c r="D16" s="4" t="s">
        <v>37</v>
      </c>
      <c r="E16" s="4" t="s">
        <v>2</v>
      </c>
      <c r="F16" s="6">
        <v>25560</v>
      </c>
      <c r="G16" s="4" t="s">
        <v>27</v>
      </c>
      <c r="H16" s="9">
        <v>15000</v>
      </c>
      <c r="I16" s="8" cm="1">
        <f t="array" ref="I16">IF(F16 &gt;= H16,F16 * commission, 0)</f>
        <v>2556</v>
      </c>
      <c r="J16" s="13">
        <f>Sales_Data[[#This Row],[Sales Amount]] - Sales_Data[[#This Row],[Targets]]</f>
        <v>10560</v>
      </c>
    </row>
    <row r="17" spans="1:10">
      <c r="A17" s="5">
        <v>44197</v>
      </c>
      <c r="B17" s="4" t="s">
        <v>41</v>
      </c>
      <c r="C17" s="4" t="s">
        <v>42</v>
      </c>
      <c r="D17" s="4" t="s">
        <v>43</v>
      </c>
      <c r="E17" s="4" t="s">
        <v>3</v>
      </c>
      <c r="F17" s="6">
        <v>3008.3999999999996</v>
      </c>
      <c r="G17" s="4" t="s">
        <v>22</v>
      </c>
      <c r="H17" s="9">
        <v>15000</v>
      </c>
      <c r="I17" s="8" cm="1">
        <f t="array" ref="I17">IF(F17 &gt;= H17,F17 * commission, 0)</f>
        <v>0</v>
      </c>
      <c r="J17" s="13">
        <f>Sales_Data[[#This Row],[Sales Amount]] - Sales_Data[[#This Row],[Targets]]</f>
        <v>-11991.6</v>
      </c>
    </row>
    <row r="18" spans="1:10">
      <c r="A18" s="5">
        <v>44197</v>
      </c>
      <c r="B18" s="4" t="s">
        <v>44</v>
      </c>
      <c r="C18" s="4" t="s">
        <v>45</v>
      </c>
      <c r="D18" s="4" t="s">
        <v>46</v>
      </c>
      <c r="E18" s="4" t="s">
        <v>3</v>
      </c>
      <c r="F18" s="6">
        <v>7221.5999999999995</v>
      </c>
      <c r="G18" s="4" t="s">
        <v>28</v>
      </c>
      <c r="H18" s="9">
        <v>15000</v>
      </c>
      <c r="I18" s="8" cm="1">
        <f t="array" ref="I18">IF(F18 &gt;= H18,F18 * commission, 0)</f>
        <v>0</v>
      </c>
      <c r="J18" s="13">
        <f>Sales_Data[[#This Row],[Sales Amount]] - Sales_Data[[#This Row],[Targets]]</f>
        <v>-7778.4000000000005</v>
      </c>
    </row>
    <row r="19" spans="1:10">
      <c r="A19" s="5">
        <v>44197</v>
      </c>
      <c r="B19" s="4" t="s">
        <v>41</v>
      </c>
      <c r="C19" s="4" t="s">
        <v>42</v>
      </c>
      <c r="D19" s="4" t="s">
        <v>43</v>
      </c>
      <c r="E19" s="4" t="s">
        <v>3</v>
      </c>
      <c r="F19" s="6">
        <v>10903.199999999999</v>
      </c>
      <c r="G19" s="4" t="s">
        <v>22</v>
      </c>
      <c r="H19" s="9">
        <v>15000</v>
      </c>
      <c r="I19" s="8" cm="1">
        <f t="array" ref="I19">IF(F19 &gt;= H19,F19 * commission, 0)</f>
        <v>0</v>
      </c>
      <c r="J19" s="13">
        <f>Sales_Data[[#This Row],[Sales Amount]] - Sales_Data[[#This Row],[Targets]]</f>
        <v>-4096.8000000000011</v>
      </c>
    </row>
    <row r="20" spans="1:10">
      <c r="A20" s="5">
        <v>44197</v>
      </c>
      <c r="B20" s="4" t="s">
        <v>47</v>
      </c>
      <c r="C20" s="4" t="s">
        <v>48</v>
      </c>
      <c r="D20" s="4" t="s">
        <v>49</v>
      </c>
      <c r="E20" s="4" t="s">
        <v>3</v>
      </c>
      <c r="F20" s="6">
        <v>14616</v>
      </c>
      <c r="G20" s="4" t="s">
        <v>22</v>
      </c>
      <c r="H20" s="9">
        <v>15000</v>
      </c>
      <c r="I20" s="8" cm="1">
        <f t="array" ref="I20">IF(F20 &gt;= H20,F20 * commission, 0)</f>
        <v>0</v>
      </c>
      <c r="J20" s="13">
        <f>Sales_Data[[#This Row],[Sales Amount]] - Sales_Data[[#This Row],[Targets]]</f>
        <v>-384</v>
      </c>
    </row>
    <row r="21" spans="1:10">
      <c r="A21" s="5">
        <v>44197</v>
      </c>
      <c r="B21" s="4" t="s">
        <v>50</v>
      </c>
      <c r="C21" s="4" t="s">
        <v>51</v>
      </c>
      <c r="D21" s="4" t="s">
        <v>52</v>
      </c>
      <c r="E21" s="4" t="s">
        <v>3</v>
      </c>
      <c r="F21" s="6">
        <v>18885.900000000001</v>
      </c>
      <c r="G21" s="4" t="s">
        <v>28</v>
      </c>
      <c r="H21" s="9">
        <v>15000</v>
      </c>
      <c r="I21" s="8" cm="1">
        <f t="array" ref="I21">IF(F21 &gt;= H21,F21 * commission, 0)</f>
        <v>1888.5900000000001</v>
      </c>
      <c r="J21" s="13">
        <f>Sales_Data[[#This Row],[Sales Amount]] - Sales_Data[[#This Row],[Targets]]</f>
        <v>3885.9000000000015</v>
      </c>
    </row>
    <row r="22" spans="1:10">
      <c r="A22" s="5">
        <v>44197</v>
      </c>
      <c r="B22" s="4" t="s">
        <v>50</v>
      </c>
      <c r="C22" s="4" t="s">
        <v>51</v>
      </c>
      <c r="D22" s="4" t="s">
        <v>52</v>
      </c>
      <c r="E22" s="4" t="s">
        <v>3</v>
      </c>
      <c r="F22" s="6">
        <v>24236</v>
      </c>
      <c r="G22" s="4" t="s">
        <v>27</v>
      </c>
      <c r="H22" s="9">
        <v>15000</v>
      </c>
      <c r="I22" s="8" cm="1">
        <f t="array" ref="I22">IF(F22 &gt;= H22,F22 * commission, 0)</f>
        <v>2423.6</v>
      </c>
      <c r="J22" s="13">
        <f>Sales_Data[[#This Row],[Sales Amount]] - Sales_Data[[#This Row],[Targets]]</f>
        <v>9236</v>
      </c>
    </row>
    <row r="23" spans="1:10">
      <c r="A23" s="5">
        <v>44197</v>
      </c>
      <c r="B23" s="4" t="s">
        <v>53</v>
      </c>
      <c r="C23" s="4" t="s">
        <v>54</v>
      </c>
      <c r="D23" s="4" t="s">
        <v>55</v>
      </c>
      <c r="E23" s="4" t="s">
        <v>5</v>
      </c>
      <c r="F23" s="6">
        <v>6945.4</v>
      </c>
      <c r="G23" s="4" t="s">
        <v>28</v>
      </c>
      <c r="H23" s="9">
        <v>15000</v>
      </c>
      <c r="I23" s="8" cm="1">
        <f t="array" ref="I23">IF(F23 &gt;= H23,F23 * commission, 0)</f>
        <v>0</v>
      </c>
      <c r="J23" s="13">
        <f>Sales_Data[[#This Row],[Sales Amount]] - Sales_Data[[#This Row],[Targets]]</f>
        <v>-8054.6</v>
      </c>
    </row>
    <row r="24" spans="1:10">
      <c r="A24" s="5">
        <v>44197</v>
      </c>
      <c r="B24" s="4" t="s">
        <v>53</v>
      </c>
      <c r="C24" s="4" t="s">
        <v>54</v>
      </c>
      <c r="D24" s="4" t="s">
        <v>55</v>
      </c>
      <c r="E24" s="4" t="s">
        <v>5</v>
      </c>
      <c r="F24" s="6">
        <v>7658.2000000000007</v>
      </c>
      <c r="G24" s="4" t="s">
        <v>28</v>
      </c>
      <c r="H24" s="9">
        <v>15000</v>
      </c>
      <c r="I24" s="8" cm="1">
        <f t="array" ref="I24">IF(F24 &gt;= H24,F24 * commission, 0)</f>
        <v>0</v>
      </c>
      <c r="J24" s="13">
        <f>Sales_Data[[#This Row],[Sales Amount]] - Sales_Data[[#This Row],[Targets]]</f>
        <v>-7341.7999999999993</v>
      </c>
    </row>
    <row r="25" spans="1:10">
      <c r="A25" s="5">
        <v>44197</v>
      </c>
      <c r="B25" s="4" t="s">
        <v>56</v>
      </c>
      <c r="C25" s="4" t="s">
        <v>57</v>
      </c>
      <c r="D25" s="4" t="s">
        <v>58</v>
      </c>
      <c r="E25" s="4" t="s">
        <v>5</v>
      </c>
      <c r="F25" s="6">
        <v>7658.5999999999985</v>
      </c>
      <c r="G25" s="4" t="s">
        <v>22</v>
      </c>
      <c r="H25" s="9">
        <v>15000</v>
      </c>
      <c r="I25" s="8" cm="1">
        <f t="array" ref="I25">IF(F25 &gt;= H25,F25 * commission, 0)</f>
        <v>0</v>
      </c>
      <c r="J25" s="13">
        <f>Sales_Data[[#This Row],[Sales Amount]] - Sales_Data[[#This Row],[Targets]]</f>
        <v>-7341.4000000000015</v>
      </c>
    </row>
    <row r="26" spans="1:10">
      <c r="A26" s="5">
        <v>44197</v>
      </c>
      <c r="B26" s="4" t="s">
        <v>59</v>
      </c>
      <c r="C26" s="4" t="s">
        <v>60</v>
      </c>
      <c r="D26" s="4" t="s">
        <v>61</v>
      </c>
      <c r="E26" s="4" t="s">
        <v>5</v>
      </c>
      <c r="F26" s="6">
        <v>9098.6</v>
      </c>
      <c r="G26" s="4" t="s">
        <v>28</v>
      </c>
      <c r="H26" s="9">
        <v>15000</v>
      </c>
      <c r="I26" s="8" cm="1">
        <f t="array" ref="I26">IF(F26 &gt;= H26,F26 * commission, 0)</f>
        <v>0</v>
      </c>
      <c r="J26" s="13">
        <f>Sales_Data[[#This Row],[Sales Amount]] - Sales_Data[[#This Row],[Targets]]</f>
        <v>-5901.4</v>
      </c>
    </row>
    <row r="27" spans="1:10">
      <c r="A27" s="5">
        <v>44197</v>
      </c>
      <c r="B27" s="4" t="s">
        <v>53</v>
      </c>
      <c r="C27" s="4" t="s">
        <v>54</v>
      </c>
      <c r="D27" s="4" t="s">
        <v>55</v>
      </c>
      <c r="E27" s="4" t="s">
        <v>5</v>
      </c>
      <c r="F27" s="6">
        <v>10019.199999999999</v>
      </c>
      <c r="G27" s="4" t="s">
        <v>28</v>
      </c>
      <c r="H27" s="9">
        <v>15000</v>
      </c>
      <c r="I27" s="8" cm="1">
        <f t="array" ref="I27">IF(F27 &gt;= H27,F27 * commission, 0)</f>
        <v>0</v>
      </c>
      <c r="J27" s="13">
        <f>Sales_Data[[#This Row],[Sales Amount]] - Sales_Data[[#This Row],[Targets]]</f>
        <v>-4980.8000000000011</v>
      </c>
    </row>
    <row r="28" spans="1:10">
      <c r="A28" s="5">
        <v>44197</v>
      </c>
      <c r="B28" s="4" t="s">
        <v>56</v>
      </c>
      <c r="C28" s="4" t="s">
        <v>57</v>
      </c>
      <c r="D28" s="4" t="s">
        <v>58</v>
      </c>
      <c r="E28" s="4" t="s">
        <v>5</v>
      </c>
      <c r="F28" s="6">
        <v>10176</v>
      </c>
      <c r="G28" s="4" t="s">
        <v>22</v>
      </c>
      <c r="H28" s="9">
        <v>15000</v>
      </c>
      <c r="I28" s="8" cm="1">
        <f t="array" ref="I28">IF(F28 &gt;= H28,F28 * commission, 0)</f>
        <v>0</v>
      </c>
      <c r="J28" s="13">
        <f>Sales_Data[[#This Row],[Sales Amount]] - Sales_Data[[#This Row],[Targets]]</f>
        <v>-4824</v>
      </c>
    </row>
    <row r="29" spans="1:10">
      <c r="A29" s="5">
        <v>44197</v>
      </c>
      <c r="B29" s="4" t="s">
        <v>59</v>
      </c>
      <c r="C29" s="4" t="s">
        <v>60</v>
      </c>
      <c r="D29" s="4" t="s">
        <v>61</v>
      </c>
      <c r="E29" s="4" t="s">
        <v>5</v>
      </c>
      <c r="F29" s="6">
        <v>16385.600000000002</v>
      </c>
      <c r="G29" s="4" t="s">
        <v>27</v>
      </c>
      <c r="H29" s="9">
        <v>15000</v>
      </c>
      <c r="I29" s="8" cm="1">
        <f t="array" ref="I29">IF(F29 &gt;= H29,F29 * commission, 0)</f>
        <v>1638.5600000000004</v>
      </c>
      <c r="J29" s="13">
        <f>Sales_Data[[#This Row],[Sales Amount]] - Sales_Data[[#This Row],[Targets]]</f>
        <v>1385.6000000000022</v>
      </c>
    </row>
    <row r="30" spans="1:10">
      <c r="A30" s="5">
        <v>44197</v>
      </c>
      <c r="B30" s="4" t="s">
        <v>56</v>
      </c>
      <c r="C30" s="4" t="s">
        <v>57</v>
      </c>
      <c r="D30" s="4" t="s">
        <v>58</v>
      </c>
      <c r="E30" s="4" t="s">
        <v>5</v>
      </c>
      <c r="F30" s="6">
        <v>19108</v>
      </c>
      <c r="G30" s="4" t="s">
        <v>22</v>
      </c>
      <c r="H30" s="9">
        <v>15000</v>
      </c>
      <c r="I30" s="8" cm="1">
        <f t="array" ref="I30">IF(F30 &gt;= H30,F30 * commission, 0)</f>
        <v>1910.8000000000002</v>
      </c>
      <c r="J30" s="13">
        <f>Sales_Data[[#This Row],[Sales Amount]] - Sales_Data[[#This Row],[Targets]]</f>
        <v>4108</v>
      </c>
    </row>
    <row r="31" spans="1:10">
      <c r="A31" s="5">
        <v>44197</v>
      </c>
      <c r="B31" s="4" t="s">
        <v>53</v>
      </c>
      <c r="C31" s="4" t="s">
        <v>54</v>
      </c>
      <c r="D31" s="4" t="s">
        <v>55</v>
      </c>
      <c r="E31" s="4" t="s">
        <v>5</v>
      </c>
      <c r="F31" s="6">
        <v>19456</v>
      </c>
      <c r="G31" s="4" t="s">
        <v>27</v>
      </c>
      <c r="H31" s="9">
        <v>15000</v>
      </c>
      <c r="I31" s="8" cm="1">
        <f t="array" ref="I31">IF(F31 &gt;= H31,F31 * commission, 0)</f>
        <v>1945.6000000000001</v>
      </c>
      <c r="J31" s="13">
        <f>Sales_Data[[#This Row],[Sales Amount]] - Sales_Data[[#This Row],[Targets]]</f>
        <v>4456</v>
      </c>
    </row>
    <row r="32" spans="1:10">
      <c r="A32" s="5">
        <v>44197</v>
      </c>
      <c r="B32" s="4" t="s">
        <v>62</v>
      </c>
      <c r="C32" s="4" t="s">
        <v>63</v>
      </c>
      <c r="D32" s="4" t="s">
        <v>64</v>
      </c>
      <c r="E32" s="4" t="s">
        <v>5</v>
      </c>
      <c r="F32" s="6">
        <v>31127.199999999997</v>
      </c>
      <c r="G32" s="4" t="s">
        <v>28</v>
      </c>
      <c r="H32" s="9">
        <v>15000</v>
      </c>
      <c r="I32" s="8" cm="1">
        <f t="array" ref="I32">IF(F32 &gt;= H32,F32 * commission, 0)</f>
        <v>3112.72</v>
      </c>
      <c r="J32" s="13">
        <f>Sales_Data[[#This Row],[Sales Amount]] - Sales_Data[[#This Row],[Targets]]</f>
        <v>16127.199999999997</v>
      </c>
    </row>
    <row r="33" spans="1:10">
      <c r="A33" s="5">
        <v>44197</v>
      </c>
      <c r="B33" s="4" t="s">
        <v>62</v>
      </c>
      <c r="C33" s="4" t="s">
        <v>63</v>
      </c>
      <c r="D33" s="4" t="s">
        <v>64</v>
      </c>
      <c r="E33" s="4" t="s">
        <v>5</v>
      </c>
      <c r="F33" s="6">
        <v>36372.1</v>
      </c>
      <c r="G33" s="4" t="s">
        <v>27</v>
      </c>
      <c r="H33" s="9">
        <v>15000</v>
      </c>
      <c r="I33" s="8" cm="1">
        <f t="array" ref="I33">IF(F33 &gt;= H33,F33 * commission, 0)</f>
        <v>3637.21</v>
      </c>
      <c r="J33" s="13">
        <f>Sales_Data[[#This Row],[Sales Amount]] - Sales_Data[[#This Row],[Targets]]</f>
        <v>21372.1</v>
      </c>
    </row>
    <row r="34" spans="1:10">
      <c r="A34" s="5">
        <v>44197</v>
      </c>
      <c r="B34" s="4" t="s">
        <v>56</v>
      </c>
      <c r="C34" s="4" t="s">
        <v>57</v>
      </c>
      <c r="D34" s="4" t="s">
        <v>58</v>
      </c>
      <c r="E34" s="4" t="s">
        <v>5</v>
      </c>
      <c r="F34" s="6">
        <v>39186</v>
      </c>
      <c r="G34" s="4" t="s">
        <v>22</v>
      </c>
      <c r="H34" s="9">
        <v>15000</v>
      </c>
      <c r="I34" s="8" cm="1">
        <f t="array" ref="I34">IF(F34 &gt;= H34,F34 * commission, 0)</f>
        <v>3918.6000000000004</v>
      </c>
      <c r="J34" s="13">
        <f>Sales_Data[[#This Row],[Sales Amount]] - Sales_Data[[#This Row],[Targets]]</f>
        <v>24186</v>
      </c>
    </row>
    <row r="35" spans="1:10">
      <c r="A35" s="5">
        <v>44197</v>
      </c>
      <c r="B35" s="4" t="s">
        <v>62</v>
      </c>
      <c r="C35" s="4" t="s">
        <v>63</v>
      </c>
      <c r="D35" s="4" t="s">
        <v>64</v>
      </c>
      <c r="E35" s="4" t="s">
        <v>5</v>
      </c>
      <c r="F35" s="6">
        <v>46715.999999999993</v>
      </c>
      <c r="G35" s="4" t="s">
        <v>27</v>
      </c>
      <c r="H35" s="9">
        <v>15000</v>
      </c>
      <c r="I35" s="8" cm="1">
        <f t="array" ref="I35">IF(F35 &gt;= H35,F35 * commission, 0)</f>
        <v>4671.5999999999995</v>
      </c>
      <c r="J35" s="13">
        <f>Sales_Data[[#This Row],[Sales Amount]] - Sales_Data[[#This Row],[Targets]]</f>
        <v>31715.999999999993</v>
      </c>
    </row>
    <row r="36" spans="1:10">
      <c r="A36" s="5">
        <v>44228</v>
      </c>
      <c r="B36" s="4" t="s">
        <v>65</v>
      </c>
      <c r="C36" s="4" t="s">
        <v>66</v>
      </c>
      <c r="D36" s="4" t="s">
        <v>67</v>
      </c>
      <c r="E36" s="4" t="s">
        <v>4</v>
      </c>
      <c r="F36" s="6">
        <v>7717.5</v>
      </c>
      <c r="G36" s="4" t="s">
        <v>28</v>
      </c>
      <c r="H36" s="9">
        <v>15000</v>
      </c>
      <c r="I36" s="8" cm="1">
        <f t="array" ref="I36">IF(F36 &gt;= H36,F36 * commission, 0)</f>
        <v>0</v>
      </c>
      <c r="J36" s="13">
        <f>Sales_Data[[#This Row],[Sales Amount]] - Sales_Data[[#This Row],[Targets]]</f>
        <v>-7282.5</v>
      </c>
    </row>
    <row r="37" spans="1:10">
      <c r="A37" s="5">
        <v>44228</v>
      </c>
      <c r="B37" s="4" t="s">
        <v>65</v>
      </c>
      <c r="C37" s="4" t="s">
        <v>66</v>
      </c>
      <c r="D37" s="4" t="s">
        <v>67</v>
      </c>
      <c r="E37" s="4" t="s">
        <v>4</v>
      </c>
      <c r="F37" s="6">
        <v>11617.6</v>
      </c>
      <c r="G37" s="4" t="s">
        <v>22</v>
      </c>
      <c r="H37" s="9">
        <v>15000</v>
      </c>
      <c r="I37" s="8" cm="1">
        <f t="array" ref="I37">IF(F37 &gt;= H37,F37 * commission, 0)</f>
        <v>0</v>
      </c>
      <c r="J37" s="13">
        <f>Sales_Data[[#This Row],[Sales Amount]] - Sales_Data[[#This Row],[Targets]]</f>
        <v>-3382.3999999999996</v>
      </c>
    </row>
    <row r="38" spans="1:10">
      <c r="A38" s="5">
        <v>44228</v>
      </c>
      <c r="B38" s="4" t="s">
        <v>32</v>
      </c>
      <c r="C38" s="4" t="s">
        <v>33</v>
      </c>
      <c r="D38" s="4" t="s">
        <v>34</v>
      </c>
      <c r="E38" s="4" t="s">
        <v>4</v>
      </c>
      <c r="F38" s="6">
        <v>19431</v>
      </c>
      <c r="G38" s="4" t="s">
        <v>22</v>
      </c>
      <c r="H38" s="9">
        <v>15000</v>
      </c>
      <c r="I38" s="8" cm="1">
        <f t="array" ref="I38">IF(F38 &gt;= H38,F38 * commission, 0)</f>
        <v>1943.1000000000001</v>
      </c>
      <c r="J38" s="13">
        <f>Sales_Data[[#This Row],[Sales Amount]] - Sales_Data[[#This Row],[Targets]]</f>
        <v>4431</v>
      </c>
    </row>
    <row r="39" spans="1:10">
      <c r="A39" s="5">
        <v>44228</v>
      </c>
      <c r="B39" s="4" t="s">
        <v>29</v>
      </c>
      <c r="C39" s="4" t="s">
        <v>30</v>
      </c>
      <c r="D39" s="4" t="s">
        <v>31</v>
      </c>
      <c r="E39" s="4" t="s">
        <v>4</v>
      </c>
      <c r="F39" s="6">
        <v>21169.599999999999</v>
      </c>
      <c r="G39" s="4" t="s">
        <v>22</v>
      </c>
      <c r="H39" s="9">
        <v>15000</v>
      </c>
      <c r="I39" s="8" cm="1">
        <f t="array" ref="I39">IF(F39 &gt;= H39,F39 * commission, 0)</f>
        <v>2116.96</v>
      </c>
      <c r="J39" s="13">
        <f>Sales_Data[[#This Row],[Sales Amount]] - Sales_Data[[#This Row],[Targets]]</f>
        <v>6169.5999999999985</v>
      </c>
    </row>
    <row r="40" spans="1:10">
      <c r="A40" s="5">
        <v>44228</v>
      </c>
      <c r="B40" s="4" t="s">
        <v>19</v>
      </c>
      <c r="C40" s="4" t="s">
        <v>20</v>
      </c>
      <c r="D40" s="4" t="s">
        <v>21</v>
      </c>
      <c r="E40" s="4" t="s">
        <v>4</v>
      </c>
      <c r="F40" s="6">
        <v>29158.400000000001</v>
      </c>
      <c r="G40" s="4" t="s">
        <v>22</v>
      </c>
      <c r="H40" s="9">
        <v>15000</v>
      </c>
      <c r="I40" s="8" cm="1">
        <f t="array" ref="I40">IF(F40 &gt;= H40,F40 * commission, 0)</f>
        <v>2915.84</v>
      </c>
      <c r="J40" s="13">
        <f>Sales_Data[[#This Row],[Sales Amount]] - Sales_Data[[#This Row],[Targets]]</f>
        <v>14158.400000000001</v>
      </c>
    </row>
    <row r="41" spans="1:10">
      <c r="A41" s="5">
        <v>44228</v>
      </c>
      <c r="B41" s="4" t="s">
        <v>32</v>
      </c>
      <c r="C41" s="4" t="s">
        <v>33</v>
      </c>
      <c r="D41" s="4" t="s">
        <v>34</v>
      </c>
      <c r="E41" s="4" t="s">
        <v>4</v>
      </c>
      <c r="F41" s="6">
        <v>30305</v>
      </c>
      <c r="G41" s="4" t="s">
        <v>27</v>
      </c>
      <c r="H41" s="9">
        <v>15000</v>
      </c>
      <c r="I41" s="8" cm="1">
        <f t="array" ref="I41">IF(F41 &gt;= H41,F41 * commission, 0)</f>
        <v>3030.5</v>
      </c>
      <c r="J41" s="13">
        <f>Sales_Data[[#This Row],[Sales Amount]] - Sales_Data[[#This Row],[Targets]]</f>
        <v>15305</v>
      </c>
    </row>
    <row r="42" spans="1:10">
      <c r="A42" s="5">
        <v>44228</v>
      </c>
      <c r="B42" s="4" t="s">
        <v>65</v>
      </c>
      <c r="C42" s="4" t="s">
        <v>66</v>
      </c>
      <c r="D42" s="4" t="s">
        <v>67</v>
      </c>
      <c r="E42" s="4" t="s">
        <v>4</v>
      </c>
      <c r="F42" s="6">
        <v>43184.399999999994</v>
      </c>
      <c r="G42" s="4" t="s">
        <v>28</v>
      </c>
      <c r="H42" s="9">
        <v>15000</v>
      </c>
      <c r="I42" s="8" cm="1">
        <f t="array" ref="I42">IF(F42 &gt;= H42,F42 * commission, 0)</f>
        <v>4318.4399999999996</v>
      </c>
      <c r="J42" s="13">
        <f>Sales_Data[[#This Row],[Sales Amount]] - Sales_Data[[#This Row],[Targets]]</f>
        <v>28184.399999999994</v>
      </c>
    </row>
    <row r="43" spans="1:10">
      <c r="A43" s="5">
        <v>44228</v>
      </c>
      <c r="B43" s="4" t="s">
        <v>38</v>
      </c>
      <c r="C43" s="4" t="s">
        <v>39</v>
      </c>
      <c r="D43" s="4" t="s">
        <v>40</v>
      </c>
      <c r="E43" s="4" t="s">
        <v>2</v>
      </c>
      <c r="F43" s="6">
        <v>13479.400000000001</v>
      </c>
      <c r="G43" s="4" t="s">
        <v>28</v>
      </c>
      <c r="H43" s="9">
        <v>15000</v>
      </c>
      <c r="I43" s="8" cm="1">
        <f t="array" ref="I43">IF(F43 &gt;= H43,F43 * commission, 0)</f>
        <v>0</v>
      </c>
      <c r="J43" s="13">
        <f>Sales_Data[[#This Row],[Sales Amount]] - Sales_Data[[#This Row],[Targets]]</f>
        <v>-1520.5999999999985</v>
      </c>
    </row>
    <row r="44" spans="1:10">
      <c r="A44" s="5">
        <v>44228</v>
      </c>
      <c r="B44" s="4" t="s">
        <v>35</v>
      </c>
      <c r="C44" s="4" t="s">
        <v>36</v>
      </c>
      <c r="D44" s="4" t="s">
        <v>37</v>
      </c>
      <c r="E44" s="4" t="s">
        <v>2</v>
      </c>
      <c r="F44" s="6">
        <v>16604.400000000001</v>
      </c>
      <c r="G44" s="4" t="s">
        <v>22</v>
      </c>
      <c r="H44" s="9">
        <v>15000</v>
      </c>
      <c r="I44" s="8" cm="1">
        <f t="array" ref="I44">IF(F44 &gt;= H44,F44 * commission, 0)</f>
        <v>1660.4400000000003</v>
      </c>
      <c r="J44" s="13">
        <f>Sales_Data[[#This Row],[Sales Amount]] - Sales_Data[[#This Row],[Targets]]</f>
        <v>1604.4000000000015</v>
      </c>
    </row>
    <row r="45" spans="1:10">
      <c r="A45" s="5">
        <v>44228</v>
      </c>
      <c r="B45" s="4" t="s">
        <v>68</v>
      </c>
      <c r="C45" s="4" t="s">
        <v>69</v>
      </c>
      <c r="D45" s="4" t="s">
        <v>70</v>
      </c>
      <c r="E45" s="4" t="s">
        <v>2</v>
      </c>
      <c r="F45" s="6">
        <v>22176</v>
      </c>
      <c r="G45" s="4" t="s">
        <v>22</v>
      </c>
      <c r="H45" s="9">
        <v>15000</v>
      </c>
      <c r="I45" s="8" cm="1">
        <f t="array" ref="I45">IF(F45 &gt;= H45,F45 * commission, 0)</f>
        <v>2217.6</v>
      </c>
      <c r="J45" s="13">
        <f>Sales_Data[[#This Row],[Sales Amount]] - Sales_Data[[#This Row],[Targets]]</f>
        <v>7176</v>
      </c>
    </row>
    <row r="46" spans="1:10">
      <c r="A46" s="5">
        <v>44228</v>
      </c>
      <c r="B46" s="4" t="s">
        <v>38</v>
      </c>
      <c r="C46" s="4" t="s">
        <v>39</v>
      </c>
      <c r="D46" s="4" t="s">
        <v>40</v>
      </c>
      <c r="E46" s="4" t="s">
        <v>2</v>
      </c>
      <c r="F46" s="6">
        <v>24131.000000000004</v>
      </c>
      <c r="G46" s="4" t="s">
        <v>22</v>
      </c>
      <c r="H46" s="9">
        <v>15000</v>
      </c>
      <c r="I46" s="8" cm="1">
        <f t="array" ref="I46">IF(F46 &gt;= H46,F46 * commission, 0)</f>
        <v>2413.1000000000004</v>
      </c>
      <c r="J46" s="13">
        <f>Sales_Data[[#This Row],[Sales Amount]] - Sales_Data[[#This Row],[Targets]]</f>
        <v>9131.0000000000036</v>
      </c>
    </row>
    <row r="47" spans="1:10">
      <c r="A47" s="5">
        <v>44228</v>
      </c>
      <c r="B47" s="4" t="s">
        <v>35</v>
      </c>
      <c r="C47" s="4" t="s">
        <v>36</v>
      </c>
      <c r="D47" s="4" t="s">
        <v>37</v>
      </c>
      <c r="E47" s="4" t="s">
        <v>2</v>
      </c>
      <c r="F47" s="6">
        <v>34353.5</v>
      </c>
      <c r="G47" s="4" t="s">
        <v>22</v>
      </c>
      <c r="H47" s="9">
        <v>15000</v>
      </c>
      <c r="I47" s="8" cm="1">
        <f t="array" ref="I47">IF(F47 &gt;= H47,F47 * commission, 0)</f>
        <v>3435.3500000000004</v>
      </c>
      <c r="J47" s="13">
        <f>Sales_Data[[#This Row],[Sales Amount]] - Sales_Data[[#This Row],[Targets]]</f>
        <v>19353.5</v>
      </c>
    </row>
    <row r="48" spans="1:10">
      <c r="A48" s="5">
        <v>44228</v>
      </c>
      <c r="B48" s="4" t="s">
        <v>47</v>
      </c>
      <c r="C48" s="4" t="s">
        <v>48</v>
      </c>
      <c r="D48" s="4" t="s">
        <v>49</v>
      </c>
      <c r="E48" s="4" t="s">
        <v>3</v>
      </c>
      <c r="F48" s="6">
        <v>3596</v>
      </c>
      <c r="G48" s="4" t="s">
        <v>22</v>
      </c>
      <c r="H48" s="9">
        <v>15000</v>
      </c>
      <c r="I48" s="8" cm="1">
        <f t="array" ref="I48">IF(F48 &gt;= H48,F48 * commission, 0)</f>
        <v>0</v>
      </c>
      <c r="J48" s="13">
        <f>Sales_Data[[#This Row],[Sales Amount]] - Sales_Data[[#This Row],[Targets]]</f>
        <v>-11404</v>
      </c>
    </row>
    <row r="49" spans="1:10">
      <c r="A49" s="5">
        <v>44228</v>
      </c>
      <c r="B49" s="4" t="s">
        <v>71</v>
      </c>
      <c r="C49" s="4" t="s">
        <v>72</v>
      </c>
      <c r="D49" s="4" t="s">
        <v>73</v>
      </c>
      <c r="E49" s="4" t="s">
        <v>3</v>
      </c>
      <c r="F49" s="6">
        <v>6300</v>
      </c>
      <c r="G49" s="4" t="s">
        <v>28</v>
      </c>
      <c r="H49" s="9">
        <v>15000</v>
      </c>
      <c r="I49" s="8" cm="1">
        <f t="array" ref="I49">IF(F49 &gt;= H49,F49 * commission, 0)</f>
        <v>0</v>
      </c>
      <c r="J49" s="13">
        <f>Sales_Data[[#This Row],[Sales Amount]] - Sales_Data[[#This Row],[Targets]]</f>
        <v>-8700</v>
      </c>
    </row>
    <row r="50" spans="1:10">
      <c r="A50" s="5">
        <v>44228</v>
      </c>
      <c r="B50" s="4" t="s">
        <v>47</v>
      </c>
      <c r="C50" s="4" t="s">
        <v>48</v>
      </c>
      <c r="D50" s="4" t="s">
        <v>49</v>
      </c>
      <c r="E50" s="4" t="s">
        <v>3</v>
      </c>
      <c r="F50" s="6">
        <v>6804</v>
      </c>
      <c r="G50" s="4" t="s">
        <v>27</v>
      </c>
      <c r="H50" s="9">
        <v>15000</v>
      </c>
      <c r="I50" s="8" cm="1">
        <f t="array" ref="I50">IF(F50 &gt;= H50,F50 * commission, 0)</f>
        <v>0</v>
      </c>
      <c r="J50" s="13">
        <f>Sales_Data[[#This Row],[Sales Amount]] - Sales_Data[[#This Row],[Targets]]</f>
        <v>-8196</v>
      </c>
    </row>
    <row r="51" spans="1:10">
      <c r="A51" s="5">
        <v>44228</v>
      </c>
      <c r="B51" s="4" t="s">
        <v>44</v>
      </c>
      <c r="C51" s="4" t="s">
        <v>45</v>
      </c>
      <c r="D51" s="4" t="s">
        <v>46</v>
      </c>
      <c r="E51" s="4" t="s">
        <v>3</v>
      </c>
      <c r="F51" s="6">
        <v>8524.4000000000015</v>
      </c>
      <c r="G51" s="4" t="s">
        <v>28</v>
      </c>
      <c r="H51" s="9">
        <v>15000</v>
      </c>
      <c r="I51" s="8" cm="1">
        <f t="array" ref="I51">IF(F51 &gt;= H51,F51 * commission, 0)</f>
        <v>0</v>
      </c>
      <c r="J51" s="13">
        <f>Sales_Data[[#This Row],[Sales Amount]] - Sales_Data[[#This Row],[Targets]]</f>
        <v>-6475.5999999999985</v>
      </c>
    </row>
    <row r="52" spans="1:10">
      <c r="A52" s="5">
        <v>44228</v>
      </c>
      <c r="B52" s="4" t="s">
        <v>47</v>
      </c>
      <c r="C52" s="4" t="s">
        <v>48</v>
      </c>
      <c r="D52" s="4" t="s">
        <v>49</v>
      </c>
      <c r="E52" s="4" t="s">
        <v>3</v>
      </c>
      <c r="F52" s="6">
        <v>8772</v>
      </c>
      <c r="G52" s="4" t="s">
        <v>28</v>
      </c>
      <c r="H52" s="9">
        <v>15000</v>
      </c>
      <c r="I52" s="8" cm="1">
        <f t="array" ref="I52">IF(F52 &gt;= H52,F52 * commission, 0)</f>
        <v>0</v>
      </c>
      <c r="J52" s="13">
        <f>Sales_Data[[#This Row],[Sales Amount]] - Sales_Data[[#This Row],[Targets]]</f>
        <v>-6228</v>
      </c>
    </row>
    <row r="53" spans="1:10">
      <c r="A53" s="5">
        <v>44228</v>
      </c>
      <c r="B53" s="4" t="s">
        <v>47</v>
      </c>
      <c r="C53" s="4" t="s">
        <v>48</v>
      </c>
      <c r="D53" s="4" t="s">
        <v>49</v>
      </c>
      <c r="E53" s="4" t="s">
        <v>3</v>
      </c>
      <c r="F53" s="6">
        <v>17328.300000000003</v>
      </c>
      <c r="G53" s="4" t="s">
        <v>28</v>
      </c>
      <c r="H53" s="9">
        <v>15000</v>
      </c>
      <c r="I53" s="8" cm="1">
        <f t="array" ref="I53">IF(F53 &gt;= H53,F53 * commission, 0)</f>
        <v>1732.8300000000004</v>
      </c>
      <c r="J53" s="13">
        <f>Sales_Data[[#This Row],[Sales Amount]] - Sales_Data[[#This Row],[Targets]]</f>
        <v>2328.3000000000029</v>
      </c>
    </row>
    <row r="54" spans="1:10">
      <c r="A54" s="5">
        <v>44228</v>
      </c>
      <c r="B54" s="4" t="s">
        <v>71</v>
      </c>
      <c r="C54" s="4" t="s">
        <v>72</v>
      </c>
      <c r="D54" s="4" t="s">
        <v>73</v>
      </c>
      <c r="E54" s="4" t="s">
        <v>3</v>
      </c>
      <c r="F54" s="6">
        <v>21438.899999999998</v>
      </c>
      <c r="G54" s="4" t="s">
        <v>27</v>
      </c>
      <c r="H54" s="9">
        <v>15000</v>
      </c>
      <c r="I54" s="8" cm="1">
        <f t="array" ref="I54">IF(F54 &gt;= H54,F54 * commission, 0)</f>
        <v>2143.89</v>
      </c>
      <c r="J54" s="13">
        <f>Sales_Data[[#This Row],[Sales Amount]] - Sales_Data[[#This Row],[Targets]]</f>
        <v>6438.8999999999978</v>
      </c>
    </row>
    <row r="55" spans="1:10">
      <c r="A55" s="5">
        <v>44228</v>
      </c>
      <c r="B55" s="4" t="s">
        <v>44</v>
      </c>
      <c r="C55" s="4" t="s">
        <v>45</v>
      </c>
      <c r="D55" s="4" t="s">
        <v>46</v>
      </c>
      <c r="E55" s="4" t="s">
        <v>3</v>
      </c>
      <c r="F55" s="6">
        <v>26556.799999999999</v>
      </c>
      <c r="G55" s="4" t="s">
        <v>22</v>
      </c>
      <c r="H55" s="9">
        <v>15000</v>
      </c>
      <c r="I55" s="8" cm="1">
        <f t="array" ref="I55">IF(F55 &gt;= H55,F55 * commission, 0)</f>
        <v>2655.6800000000003</v>
      </c>
      <c r="J55" s="13">
        <f>Sales_Data[[#This Row],[Sales Amount]] - Sales_Data[[#This Row],[Targets]]</f>
        <v>11556.8</v>
      </c>
    </row>
    <row r="56" spans="1:10">
      <c r="A56" s="5">
        <v>44228</v>
      </c>
      <c r="B56" s="4" t="s">
        <v>44</v>
      </c>
      <c r="C56" s="4" t="s">
        <v>45</v>
      </c>
      <c r="D56" s="4" t="s">
        <v>46</v>
      </c>
      <c r="E56" s="4" t="s">
        <v>3</v>
      </c>
      <c r="F56" s="6">
        <v>33132.600000000006</v>
      </c>
      <c r="G56" s="4" t="s">
        <v>28</v>
      </c>
      <c r="H56" s="9">
        <v>15000</v>
      </c>
      <c r="I56" s="8" cm="1">
        <f t="array" ref="I56">IF(F56 &gt;= H56,F56 * commission, 0)</f>
        <v>3313.2600000000007</v>
      </c>
      <c r="J56" s="13">
        <f>Sales_Data[[#This Row],[Sales Amount]] - Sales_Data[[#This Row],[Targets]]</f>
        <v>18132.600000000006</v>
      </c>
    </row>
    <row r="57" spans="1:10">
      <c r="A57" s="5">
        <v>44228</v>
      </c>
      <c r="B57" s="4" t="s">
        <v>53</v>
      </c>
      <c r="C57" s="4" t="s">
        <v>54</v>
      </c>
      <c r="D57" s="4" t="s">
        <v>55</v>
      </c>
      <c r="E57" s="4" t="s">
        <v>5</v>
      </c>
      <c r="F57" s="6">
        <v>4531</v>
      </c>
      <c r="G57" s="4" t="s">
        <v>28</v>
      </c>
      <c r="H57" s="9">
        <v>15000</v>
      </c>
      <c r="I57" s="8" cm="1">
        <f t="array" ref="I57">IF(F57 &gt;= H57,F57 * commission, 0)</f>
        <v>0</v>
      </c>
      <c r="J57" s="13">
        <f>Sales_Data[[#This Row],[Sales Amount]] - Sales_Data[[#This Row],[Targets]]</f>
        <v>-10469</v>
      </c>
    </row>
    <row r="58" spans="1:10">
      <c r="A58" s="5">
        <v>44228</v>
      </c>
      <c r="B58" s="4" t="s">
        <v>74</v>
      </c>
      <c r="C58" s="4" t="s">
        <v>75</v>
      </c>
      <c r="D58" s="4" t="s">
        <v>76</v>
      </c>
      <c r="E58" s="4" t="s">
        <v>5</v>
      </c>
      <c r="F58" s="6">
        <v>6751.7999999999993</v>
      </c>
      <c r="G58" s="4" t="s">
        <v>22</v>
      </c>
      <c r="H58" s="9">
        <v>15000</v>
      </c>
      <c r="I58" s="8" cm="1">
        <f t="array" ref="I58">IF(F58 &gt;= H58,F58 * commission, 0)</f>
        <v>0</v>
      </c>
      <c r="J58" s="13">
        <f>Sales_Data[[#This Row],[Sales Amount]] - Sales_Data[[#This Row],[Targets]]</f>
        <v>-8248.2000000000007</v>
      </c>
    </row>
    <row r="59" spans="1:10">
      <c r="A59" s="5">
        <v>44228</v>
      </c>
      <c r="B59" s="4" t="s">
        <v>53</v>
      </c>
      <c r="C59" s="4" t="s">
        <v>54</v>
      </c>
      <c r="D59" s="4" t="s">
        <v>55</v>
      </c>
      <c r="E59" s="4" t="s">
        <v>5</v>
      </c>
      <c r="F59" s="6">
        <v>7343.2000000000007</v>
      </c>
      <c r="G59" s="4" t="s">
        <v>22</v>
      </c>
      <c r="H59" s="9">
        <v>15000</v>
      </c>
      <c r="I59" s="8" cm="1">
        <f t="array" ref="I59">IF(F59 &gt;= H59,F59 * commission, 0)</f>
        <v>0</v>
      </c>
      <c r="J59" s="13">
        <f>Sales_Data[[#This Row],[Sales Amount]] - Sales_Data[[#This Row],[Targets]]</f>
        <v>-7656.7999999999993</v>
      </c>
    </row>
    <row r="60" spans="1:10">
      <c r="A60" s="5">
        <v>44228</v>
      </c>
      <c r="B60" s="4" t="s">
        <v>53</v>
      </c>
      <c r="C60" s="4" t="s">
        <v>54</v>
      </c>
      <c r="D60" s="4" t="s">
        <v>55</v>
      </c>
      <c r="E60" s="4" t="s">
        <v>5</v>
      </c>
      <c r="F60" s="6">
        <v>7356.5999999999995</v>
      </c>
      <c r="G60" s="4" t="s">
        <v>27</v>
      </c>
      <c r="H60" s="9">
        <v>15000</v>
      </c>
      <c r="I60" s="8" cm="1">
        <f t="array" ref="I60">IF(F60 &gt;= H60,F60 * commission, 0)</f>
        <v>0</v>
      </c>
      <c r="J60" s="13">
        <f>Sales_Data[[#This Row],[Sales Amount]] - Sales_Data[[#This Row],[Targets]]</f>
        <v>-7643.4000000000005</v>
      </c>
    </row>
    <row r="61" spans="1:10">
      <c r="A61" s="5">
        <v>44228</v>
      </c>
      <c r="B61" s="4" t="s">
        <v>74</v>
      </c>
      <c r="C61" s="4" t="s">
        <v>75</v>
      </c>
      <c r="D61" s="4" t="s">
        <v>76</v>
      </c>
      <c r="E61" s="4" t="s">
        <v>5</v>
      </c>
      <c r="F61" s="6">
        <v>17748</v>
      </c>
      <c r="G61" s="4" t="s">
        <v>27</v>
      </c>
      <c r="H61" s="9">
        <v>15000</v>
      </c>
      <c r="I61" s="8" cm="1">
        <f t="array" ref="I61">IF(F61 &gt;= H61,F61 * commission, 0)</f>
        <v>1774.8000000000002</v>
      </c>
      <c r="J61" s="13">
        <f>Sales_Data[[#This Row],[Sales Amount]] - Sales_Data[[#This Row],[Targets]]</f>
        <v>2748</v>
      </c>
    </row>
    <row r="62" spans="1:10">
      <c r="A62" s="5">
        <v>44228</v>
      </c>
      <c r="B62" s="4" t="s">
        <v>53</v>
      </c>
      <c r="C62" s="4" t="s">
        <v>54</v>
      </c>
      <c r="D62" s="4" t="s">
        <v>55</v>
      </c>
      <c r="E62" s="4" t="s">
        <v>5</v>
      </c>
      <c r="F62" s="6">
        <v>28395.5</v>
      </c>
      <c r="G62" s="4" t="s">
        <v>28</v>
      </c>
      <c r="H62" s="9">
        <v>15000</v>
      </c>
      <c r="I62" s="8" cm="1">
        <f t="array" ref="I62">IF(F62 &gt;= H62,F62 * commission, 0)</f>
        <v>2839.55</v>
      </c>
      <c r="J62" s="13">
        <f>Sales_Data[[#This Row],[Sales Amount]] - Sales_Data[[#This Row],[Targets]]</f>
        <v>13395.5</v>
      </c>
    </row>
    <row r="63" spans="1:10">
      <c r="A63" s="5">
        <v>44228</v>
      </c>
      <c r="B63" s="4" t="s">
        <v>56</v>
      </c>
      <c r="C63" s="4" t="s">
        <v>57</v>
      </c>
      <c r="D63" s="4" t="s">
        <v>58</v>
      </c>
      <c r="E63" s="4" t="s">
        <v>5</v>
      </c>
      <c r="F63" s="6">
        <v>41429.5</v>
      </c>
      <c r="G63" s="4" t="s">
        <v>22</v>
      </c>
      <c r="H63" s="9">
        <v>15000</v>
      </c>
      <c r="I63" s="8" cm="1">
        <f t="array" ref="I63">IF(F63 &gt;= H63,F63 * commission, 0)</f>
        <v>4142.95</v>
      </c>
      <c r="J63" s="13">
        <f>Sales_Data[[#This Row],[Sales Amount]] - Sales_Data[[#This Row],[Targets]]</f>
        <v>26429.5</v>
      </c>
    </row>
    <row r="64" spans="1:10">
      <c r="A64" s="5">
        <v>44256</v>
      </c>
      <c r="B64" s="4" t="s">
        <v>32</v>
      </c>
      <c r="C64" s="4" t="s">
        <v>33</v>
      </c>
      <c r="D64" s="4" t="s">
        <v>34</v>
      </c>
      <c r="E64" s="4" t="s">
        <v>4</v>
      </c>
      <c r="F64" s="6">
        <v>2311.5</v>
      </c>
      <c r="G64" s="4" t="s">
        <v>22</v>
      </c>
      <c r="H64" s="9">
        <v>15000</v>
      </c>
      <c r="I64" s="8" cm="1">
        <f t="array" ref="I64">IF(F64 &gt;= H64,F64 * commission, 0)</f>
        <v>0</v>
      </c>
      <c r="J64" s="13">
        <f>Sales_Data[[#This Row],[Sales Amount]] - Sales_Data[[#This Row],[Targets]]</f>
        <v>-12688.5</v>
      </c>
    </row>
    <row r="65" spans="1:10">
      <c r="A65" s="5">
        <v>44256</v>
      </c>
      <c r="B65" s="4" t="s">
        <v>65</v>
      </c>
      <c r="C65" s="4" t="s">
        <v>66</v>
      </c>
      <c r="D65" s="4" t="s">
        <v>67</v>
      </c>
      <c r="E65" s="4" t="s">
        <v>4</v>
      </c>
      <c r="F65" s="6">
        <v>3013.5</v>
      </c>
      <c r="G65" s="4" t="s">
        <v>22</v>
      </c>
      <c r="H65" s="9">
        <v>15000</v>
      </c>
      <c r="I65" s="8" cm="1">
        <f t="array" ref="I65">IF(F65 &gt;= H65,F65 * commission, 0)</f>
        <v>0</v>
      </c>
      <c r="J65" s="13">
        <f>Sales_Data[[#This Row],[Sales Amount]] - Sales_Data[[#This Row],[Targets]]</f>
        <v>-11986.5</v>
      </c>
    </row>
    <row r="66" spans="1:10">
      <c r="A66" s="5">
        <v>44256</v>
      </c>
      <c r="B66" s="4" t="s">
        <v>65</v>
      </c>
      <c r="C66" s="4" t="s">
        <v>66</v>
      </c>
      <c r="D66" s="4" t="s">
        <v>67</v>
      </c>
      <c r="E66" s="4" t="s">
        <v>4</v>
      </c>
      <c r="F66" s="6">
        <v>5287.5</v>
      </c>
      <c r="G66" s="4" t="s">
        <v>22</v>
      </c>
      <c r="H66" s="9">
        <v>15000</v>
      </c>
      <c r="I66" s="8" cm="1">
        <f t="array" ref="I66">IF(F66 &gt;= H66,F66 * commission, 0)</f>
        <v>0</v>
      </c>
      <c r="J66" s="13">
        <f>Sales_Data[[#This Row],[Sales Amount]] - Sales_Data[[#This Row],[Targets]]</f>
        <v>-9712.5</v>
      </c>
    </row>
    <row r="67" spans="1:10">
      <c r="A67" s="5">
        <v>44256</v>
      </c>
      <c r="B67" s="4" t="s">
        <v>19</v>
      </c>
      <c r="C67" s="4" t="s">
        <v>20</v>
      </c>
      <c r="D67" s="4" t="s">
        <v>21</v>
      </c>
      <c r="E67" s="4" t="s">
        <v>4</v>
      </c>
      <c r="F67" s="6">
        <v>13797</v>
      </c>
      <c r="G67" s="4" t="s">
        <v>27</v>
      </c>
      <c r="H67" s="9">
        <v>15000</v>
      </c>
      <c r="I67" s="8" cm="1">
        <f t="array" ref="I67">IF(F67 &gt;= H67,F67 * commission, 0)</f>
        <v>0</v>
      </c>
      <c r="J67" s="13">
        <f>Sales_Data[[#This Row],[Sales Amount]] - Sales_Data[[#This Row],[Targets]]</f>
        <v>-1203</v>
      </c>
    </row>
    <row r="68" spans="1:10">
      <c r="A68" s="5">
        <v>44256</v>
      </c>
      <c r="B68" s="4" t="s">
        <v>24</v>
      </c>
      <c r="C68" s="4" t="s">
        <v>25</v>
      </c>
      <c r="D68" s="4" t="s">
        <v>26</v>
      </c>
      <c r="E68" s="4" t="s">
        <v>4</v>
      </c>
      <c r="F68" s="6">
        <v>14063</v>
      </c>
      <c r="G68" s="4" t="s">
        <v>22</v>
      </c>
      <c r="H68" s="9">
        <v>15000</v>
      </c>
      <c r="I68" s="8" cm="1">
        <f t="array" ref="I68">IF(F68 &gt;= H68,F68 * commission, 0)</f>
        <v>0</v>
      </c>
      <c r="J68" s="13">
        <f>Sales_Data[[#This Row],[Sales Amount]] - Sales_Data[[#This Row],[Targets]]</f>
        <v>-937</v>
      </c>
    </row>
    <row r="69" spans="1:10">
      <c r="A69" s="5">
        <v>44256</v>
      </c>
      <c r="B69" s="4" t="s">
        <v>19</v>
      </c>
      <c r="C69" s="4" t="s">
        <v>20</v>
      </c>
      <c r="D69" s="4" t="s">
        <v>21</v>
      </c>
      <c r="E69" s="4" t="s">
        <v>4</v>
      </c>
      <c r="F69" s="6">
        <v>14608.300000000001</v>
      </c>
      <c r="G69" s="4" t="s">
        <v>27</v>
      </c>
      <c r="H69" s="9">
        <v>15000</v>
      </c>
      <c r="I69" s="8" cm="1">
        <f t="array" ref="I69">IF(F69 &gt;= H69,F69 * commission, 0)</f>
        <v>0</v>
      </c>
      <c r="J69" s="13">
        <f>Sales_Data[[#This Row],[Sales Amount]] - Sales_Data[[#This Row],[Targets]]</f>
        <v>-391.69999999999891</v>
      </c>
    </row>
    <row r="70" spans="1:10">
      <c r="A70" s="5">
        <v>44256</v>
      </c>
      <c r="B70" s="4" t="s">
        <v>65</v>
      </c>
      <c r="C70" s="4" t="s">
        <v>66</v>
      </c>
      <c r="D70" s="4" t="s">
        <v>67</v>
      </c>
      <c r="E70" s="4" t="s">
        <v>4</v>
      </c>
      <c r="F70" s="6">
        <v>16063.199999999999</v>
      </c>
      <c r="G70" s="4" t="s">
        <v>22</v>
      </c>
      <c r="H70" s="9">
        <v>15000</v>
      </c>
      <c r="I70" s="8" cm="1">
        <f t="array" ref="I70">IF(F70 &gt;= H70,F70 * commission, 0)</f>
        <v>1606.32</v>
      </c>
      <c r="J70" s="13">
        <f>Sales_Data[[#This Row],[Sales Amount]] - Sales_Data[[#This Row],[Targets]]</f>
        <v>1063.1999999999989</v>
      </c>
    </row>
    <row r="71" spans="1:10">
      <c r="A71" s="5">
        <v>44256</v>
      </c>
      <c r="B71" s="4" t="s">
        <v>32</v>
      </c>
      <c r="C71" s="4" t="s">
        <v>33</v>
      </c>
      <c r="D71" s="4" t="s">
        <v>34</v>
      </c>
      <c r="E71" s="4" t="s">
        <v>4</v>
      </c>
      <c r="F71" s="6">
        <v>16836</v>
      </c>
      <c r="G71" s="4" t="s">
        <v>27</v>
      </c>
      <c r="H71" s="9">
        <v>15000</v>
      </c>
      <c r="I71" s="8" cm="1">
        <f t="array" ref="I71">IF(F71 &gt;= H71,F71 * commission, 0)</f>
        <v>1683.6000000000001</v>
      </c>
      <c r="J71" s="13">
        <f>Sales_Data[[#This Row],[Sales Amount]] - Sales_Data[[#This Row],[Targets]]</f>
        <v>1836</v>
      </c>
    </row>
    <row r="72" spans="1:10">
      <c r="A72" s="5">
        <v>44256</v>
      </c>
      <c r="B72" s="4" t="s">
        <v>65</v>
      </c>
      <c r="C72" s="4" t="s">
        <v>66</v>
      </c>
      <c r="D72" s="4" t="s">
        <v>67</v>
      </c>
      <c r="E72" s="4" t="s">
        <v>4</v>
      </c>
      <c r="F72" s="6">
        <v>19594</v>
      </c>
      <c r="G72" s="4" t="s">
        <v>28</v>
      </c>
      <c r="H72" s="9">
        <v>15000</v>
      </c>
      <c r="I72" s="8" cm="1">
        <f t="array" ref="I72">IF(F72 &gt;= H72,F72 * commission, 0)</f>
        <v>1959.4</v>
      </c>
      <c r="J72" s="13">
        <f>Sales_Data[[#This Row],[Sales Amount]] - Sales_Data[[#This Row],[Targets]]</f>
        <v>4594</v>
      </c>
    </row>
    <row r="73" spans="1:10">
      <c r="A73" s="5">
        <v>44256</v>
      </c>
      <c r="B73" s="4" t="s">
        <v>32</v>
      </c>
      <c r="C73" s="4" t="s">
        <v>33</v>
      </c>
      <c r="D73" s="4" t="s">
        <v>34</v>
      </c>
      <c r="E73" s="4" t="s">
        <v>4</v>
      </c>
      <c r="F73" s="6">
        <v>21654.400000000001</v>
      </c>
      <c r="G73" s="4" t="s">
        <v>22</v>
      </c>
      <c r="H73" s="9">
        <v>15000</v>
      </c>
      <c r="I73" s="8" cm="1">
        <f t="array" ref="I73">IF(F73 &gt;= H73,F73 * commission, 0)</f>
        <v>2165.44</v>
      </c>
      <c r="J73" s="13">
        <f>Sales_Data[[#This Row],[Sales Amount]] - Sales_Data[[#This Row],[Targets]]</f>
        <v>6654.4000000000015</v>
      </c>
    </row>
    <row r="74" spans="1:10">
      <c r="A74" s="5">
        <v>44256</v>
      </c>
      <c r="B74" s="4" t="s">
        <v>24</v>
      </c>
      <c r="C74" s="4" t="s">
        <v>25</v>
      </c>
      <c r="D74" s="4" t="s">
        <v>26</v>
      </c>
      <c r="E74" s="4" t="s">
        <v>4</v>
      </c>
      <c r="F74" s="6">
        <v>27930</v>
      </c>
      <c r="G74" s="4" t="s">
        <v>27</v>
      </c>
      <c r="H74" s="9">
        <v>15000</v>
      </c>
      <c r="I74" s="8" cm="1">
        <f t="array" ref="I74">IF(F74 &gt;= H74,F74 * commission, 0)</f>
        <v>2793</v>
      </c>
      <c r="J74" s="13">
        <f>Sales_Data[[#This Row],[Sales Amount]] - Sales_Data[[#This Row],[Targets]]</f>
        <v>12930</v>
      </c>
    </row>
    <row r="75" spans="1:10">
      <c r="A75" s="5">
        <v>44256</v>
      </c>
      <c r="B75" s="4" t="s">
        <v>29</v>
      </c>
      <c r="C75" s="4" t="s">
        <v>30</v>
      </c>
      <c r="D75" s="4" t="s">
        <v>31</v>
      </c>
      <c r="E75" s="4" t="s">
        <v>4</v>
      </c>
      <c r="F75" s="6">
        <v>39065.899999999994</v>
      </c>
      <c r="G75" s="4" t="s">
        <v>22</v>
      </c>
      <c r="H75" s="9">
        <v>15000</v>
      </c>
      <c r="I75" s="8" cm="1">
        <f t="array" ref="I75">IF(F75 &gt;= H75,F75 * commission, 0)</f>
        <v>3906.5899999999997</v>
      </c>
      <c r="J75" s="13">
        <f>Sales_Data[[#This Row],[Sales Amount]] - Sales_Data[[#This Row],[Targets]]</f>
        <v>24065.899999999994</v>
      </c>
    </row>
    <row r="76" spans="1:10">
      <c r="A76" s="5">
        <v>44256</v>
      </c>
      <c r="B76" s="4" t="s">
        <v>65</v>
      </c>
      <c r="C76" s="4" t="s">
        <v>66</v>
      </c>
      <c r="D76" s="4" t="s">
        <v>67</v>
      </c>
      <c r="E76" s="4" t="s">
        <v>4</v>
      </c>
      <c r="F76" s="6">
        <v>44422</v>
      </c>
      <c r="G76" s="4" t="s">
        <v>28</v>
      </c>
      <c r="H76" s="9">
        <v>15000</v>
      </c>
      <c r="I76" s="8" cm="1">
        <f t="array" ref="I76">IF(F76 &gt;= H76,F76 * commission, 0)</f>
        <v>4442.2</v>
      </c>
      <c r="J76" s="13">
        <f>Sales_Data[[#This Row],[Sales Amount]] - Sales_Data[[#This Row],[Targets]]</f>
        <v>29422</v>
      </c>
    </row>
    <row r="77" spans="1:10">
      <c r="A77" s="5">
        <v>44256</v>
      </c>
      <c r="B77" s="4" t="s">
        <v>77</v>
      </c>
      <c r="C77" s="4" t="s">
        <v>78</v>
      </c>
      <c r="D77" s="4" t="s">
        <v>79</v>
      </c>
      <c r="E77" s="4" t="s">
        <v>2</v>
      </c>
      <c r="F77" s="6">
        <v>7416.9</v>
      </c>
      <c r="G77" s="4" t="s">
        <v>28</v>
      </c>
      <c r="H77" s="9">
        <v>15000</v>
      </c>
      <c r="I77" s="8" cm="1">
        <f t="array" ref="I77">IF(F77 &gt;= H77,F77 * commission, 0)</f>
        <v>0</v>
      </c>
      <c r="J77" s="13">
        <f>Sales_Data[[#This Row],[Sales Amount]] - Sales_Data[[#This Row],[Targets]]</f>
        <v>-7583.1</v>
      </c>
    </row>
    <row r="78" spans="1:10">
      <c r="A78" s="5">
        <v>44256</v>
      </c>
      <c r="B78" s="4" t="s">
        <v>80</v>
      </c>
      <c r="C78" s="4" t="s">
        <v>81</v>
      </c>
      <c r="D78" s="4" t="s">
        <v>82</v>
      </c>
      <c r="E78" s="4" t="s">
        <v>2</v>
      </c>
      <c r="F78" s="6">
        <v>8284.5</v>
      </c>
      <c r="G78" s="4" t="s">
        <v>22</v>
      </c>
      <c r="H78" s="9">
        <v>15000</v>
      </c>
      <c r="I78" s="8" cm="1">
        <f t="array" ref="I78">IF(F78 &gt;= H78,F78 * commission, 0)</f>
        <v>0</v>
      </c>
      <c r="J78" s="13">
        <f>Sales_Data[[#This Row],[Sales Amount]] - Sales_Data[[#This Row],[Targets]]</f>
        <v>-6715.5</v>
      </c>
    </row>
    <row r="79" spans="1:10">
      <c r="A79" s="5">
        <v>44256</v>
      </c>
      <c r="B79" s="4" t="s">
        <v>35</v>
      </c>
      <c r="C79" s="4" t="s">
        <v>36</v>
      </c>
      <c r="D79" s="4" t="s">
        <v>37</v>
      </c>
      <c r="E79" s="4" t="s">
        <v>2</v>
      </c>
      <c r="F79" s="6">
        <v>10758.7</v>
      </c>
      <c r="G79" s="4" t="s">
        <v>22</v>
      </c>
      <c r="H79" s="9">
        <v>15000</v>
      </c>
      <c r="I79" s="8" cm="1">
        <f t="array" ref="I79">IF(F79 &gt;= H79,F79 * commission, 0)</f>
        <v>0</v>
      </c>
      <c r="J79" s="13">
        <f>Sales_Data[[#This Row],[Sales Amount]] - Sales_Data[[#This Row],[Targets]]</f>
        <v>-4241.2999999999993</v>
      </c>
    </row>
    <row r="80" spans="1:10">
      <c r="A80" s="5">
        <v>44256</v>
      </c>
      <c r="B80" s="4" t="s">
        <v>38</v>
      </c>
      <c r="C80" s="4" t="s">
        <v>39</v>
      </c>
      <c r="D80" s="4" t="s">
        <v>40</v>
      </c>
      <c r="E80" s="4" t="s">
        <v>2</v>
      </c>
      <c r="F80" s="6">
        <v>12124.2</v>
      </c>
      <c r="G80" s="4" t="s">
        <v>28</v>
      </c>
      <c r="H80" s="9">
        <v>15000</v>
      </c>
      <c r="I80" s="8" cm="1">
        <f t="array" ref="I80">IF(F80 &gt;= H80,F80 * commission, 0)</f>
        <v>0</v>
      </c>
      <c r="J80" s="13">
        <f>Sales_Data[[#This Row],[Sales Amount]] - Sales_Data[[#This Row],[Targets]]</f>
        <v>-2875.7999999999993</v>
      </c>
    </row>
    <row r="81" spans="1:10">
      <c r="A81" s="5">
        <v>44256</v>
      </c>
      <c r="B81" s="4" t="s">
        <v>77</v>
      </c>
      <c r="C81" s="4" t="s">
        <v>78</v>
      </c>
      <c r="D81" s="4" t="s">
        <v>79</v>
      </c>
      <c r="E81" s="4" t="s">
        <v>2</v>
      </c>
      <c r="F81" s="6">
        <v>14391.999999999998</v>
      </c>
      <c r="G81" s="4" t="s">
        <v>27</v>
      </c>
      <c r="H81" s="9">
        <v>15000</v>
      </c>
      <c r="I81" s="8" cm="1">
        <f t="array" ref="I81">IF(F81 &gt;= H81,F81 * commission, 0)</f>
        <v>0</v>
      </c>
      <c r="J81" s="13">
        <f>Sales_Data[[#This Row],[Sales Amount]] - Sales_Data[[#This Row],[Targets]]</f>
        <v>-608.00000000000182</v>
      </c>
    </row>
    <row r="82" spans="1:10">
      <c r="A82" s="5">
        <v>44256</v>
      </c>
      <c r="B82" s="4" t="s">
        <v>80</v>
      </c>
      <c r="C82" s="4" t="s">
        <v>81</v>
      </c>
      <c r="D82" s="4" t="s">
        <v>82</v>
      </c>
      <c r="E82" s="4" t="s">
        <v>2</v>
      </c>
      <c r="F82" s="6">
        <v>15246</v>
      </c>
      <c r="G82" s="4" t="s">
        <v>27</v>
      </c>
      <c r="H82" s="9">
        <v>15000</v>
      </c>
      <c r="I82" s="8" cm="1">
        <f t="array" ref="I82">IF(F82 &gt;= H82,F82 * commission, 0)</f>
        <v>1524.6000000000001</v>
      </c>
      <c r="J82" s="13">
        <f>Sales_Data[[#This Row],[Sales Amount]] - Sales_Data[[#This Row],[Targets]]</f>
        <v>246</v>
      </c>
    </row>
    <row r="83" spans="1:10">
      <c r="A83" s="5">
        <v>44256</v>
      </c>
      <c r="B83" s="4" t="s">
        <v>77</v>
      </c>
      <c r="C83" s="4" t="s">
        <v>78</v>
      </c>
      <c r="D83" s="4" t="s">
        <v>79</v>
      </c>
      <c r="E83" s="4" t="s">
        <v>2</v>
      </c>
      <c r="F83" s="6">
        <v>17335.2</v>
      </c>
      <c r="G83" s="4" t="s">
        <v>28</v>
      </c>
      <c r="H83" s="9">
        <v>15000</v>
      </c>
      <c r="I83" s="8" cm="1">
        <f t="array" ref="I83">IF(F83 &gt;= H83,F83 * commission, 0)</f>
        <v>1733.5200000000002</v>
      </c>
      <c r="J83" s="13">
        <f>Sales_Data[[#This Row],[Sales Amount]] - Sales_Data[[#This Row],[Targets]]</f>
        <v>2335.2000000000007</v>
      </c>
    </row>
    <row r="84" spans="1:10">
      <c r="A84" s="5">
        <v>44256</v>
      </c>
      <c r="B84" s="4" t="s">
        <v>80</v>
      </c>
      <c r="C84" s="4" t="s">
        <v>81</v>
      </c>
      <c r="D84" s="4" t="s">
        <v>82</v>
      </c>
      <c r="E84" s="4" t="s">
        <v>2</v>
      </c>
      <c r="F84" s="6">
        <v>40831</v>
      </c>
      <c r="G84" s="4" t="s">
        <v>27</v>
      </c>
      <c r="H84" s="9">
        <v>15000</v>
      </c>
      <c r="I84" s="8" cm="1">
        <f t="array" ref="I84">IF(F84 &gt;= H84,F84 * commission, 0)</f>
        <v>4083.1000000000004</v>
      </c>
      <c r="J84" s="13">
        <f>Sales_Data[[#This Row],[Sales Amount]] - Sales_Data[[#This Row],[Targets]]</f>
        <v>25831</v>
      </c>
    </row>
    <row r="85" spans="1:10">
      <c r="A85" s="5">
        <v>44256</v>
      </c>
      <c r="B85" s="4" t="s">
        <v>47</v>
      </c>
      <c r="C85" s="4" t="s">
        <v>48</v>
      </c>
      <c r="D85" s="4" t="s">
        <v>49</v>
      </c>
      <c r="E85" s="4" t="s">
        <v>3</v>
      </c>
      <c r="F85" s="6">
        <v>6544.8</v>
      </c>
      <c r="G85" s="4" t="s">
        <v>27</v>
      </c>
      <c r="H85" s="9">
        <v>15000</v>
      </c>
      <c r="I85" s="8" cm="1">
        <f t="array" ref="I85">IF(F85 &gt;= H85,F85 * commission, 0)</f>
        <v>0</v>
      </c>
      <c r="J85" s="13">
        <f>Sales_Data[[#This Row],[Sales Amount]] - Sales_Data[[#This Row],[Targets]]</f>
        <v>-8455.2000000000007</v>
      </c>
    </row>
    <row r="86" spans="1:10">
      <c r="A86" s="5">
        <v>44256</v>
      </c>
      <c r="B86" s="4" t="s">
        <v>44</v>
      </c>
      <c r="C86" s="4" t="s">
        <v>45</v>
      </c>
      <c r="D86" s="4" t="s">
        <v>46</v>
      </c>
      <c r="E86" s="4" t="s">
        <v>3</v>
      </c>
      <c r="F86" s="6">
        <v>11166.300000000001</v>
      </c>
      <c r="G86" s="4" t="s">
        <v>22</v>
      </c>
      <c r="H86" s="9">
        <v>15000</v>
      </c>
      <c r="I86" s="8" cm="1">
        <f t="array" ref="I86">IF(F86 &gt;= H86,F86 * commission, 0)</f>
        <v>0</v>
      </c>
      <c r="J86" s="13">
        <f>Sales_Data[[#This Row],[Sales Amount]] - Sales_Data[[#This Row],[Targets]]</f>
        <v>-3833.6999999999989</v>
      </c>
    </row>
    <row r="87" spans="1:10">
      <c r="A87" s="5">
        <v>44256</v>
      </c>
      <c r="B87" s="4" t="s">
        <v>47</v>
      </c>
      <c r="C87" s="4" t="s">
        <v>48</v>
      </c>
      <c r="D87" s="4" t="s">
        <v>49</v>
      </c>
      <c r="E87" s="4" t="s">
        <v>3</v>
      </c>
      <c r="F87" s="6">
        <v>11403</v>
      </c>
      <c r="G87" s="4" t="s">
        <v>22</v>
      </c>
      <c r="H87" s="9">
        <v>15000</v>
      </c>
      <c r="I87" s="8" cm="1">
        <f t="array" ref="I87">IF(F87 &gt;= H87,F87 * commission, 0)</f>
        <v>0</v>
      </c>
      <c r="J87" s="13">
        <f>Sales_Data[[#This Row],[Sales Amount]] - Sales_Data[[#This Row],[Targets]]</f>
        <v>-3597</v>
      </c>
    </row>
    <row r="88" spans="1:10">
      <c r="A88" s="5">
        <v>44256</v>
      </c>
      <c r="B88" s="4" t="s">
        <v>47</v>
      </c>
      <c r="C88" s="4" t="s">
        <v>48</v>
      </c>
      <c r="D88" s="4" t="s">
        <v>49</v>
      </c>
      <c r="E88" s="4" t="s">
        <v>3</v>
      </c>
      <c r="F88" s="6">
        <v>11554.400000000001</v>
      </c>
      <c r="G88" s="4" t="s">
        <v>22</v>
      </c>
      <c r="H88" s="9">
        <v>15000</v>
      </c>
      <c r="I88" s="8" cm="1">
        <f t="array" ref="I88">IF(F88 &gt;= H88,F88 * commission, 0)</f>
        <v>0</v>
      </c>
      <c r="J88" s="13">
        <f>Sales_Data[[#This Row],[Sales Amount]] - Sales_Data[[#This Row],[Targets]]</f>
        <v>-3445.5999999999985</v>
      </c>
    </row>
    <row r="89" spans="1:10">
      <c r="A89" s="5">
        <v>44256</v>
      </c>
      <c r="B89" s="4" t="s">
        <v>41</v>
      </c>
      <c r="C89" s="4" t="s">
        <v>42</v>
      </c>
      <c r="D89" s="4" t="s">
        <v>43</v>
      </c>
      <c r="E89" s="4" t="s">
        <v>3</v>
      </c>
      <c r="F89" s="6">
        <v>12143.999999999998</v>
      </c>
      <c r="G89" s="4" t="s">
        <v>22</v>
      </c>
      <c r="H89" s="9">
        <v>15000</v>
      </c>
      <c r="I89" s="8" cm="1">
        <f t="array" ref="I89">IF(F89 &gt;= H89,F89 * commission, 0)</f>
        <v>0</v>
      </c>
      <c r="J89" s="13">
        <f>Sales_Data[[#This Row],[Sales Amount]] - Sales_Data[[#This Row],[Targets]]</f>
        <v>-2856.0000000000018</v>
      </c>
    </row>
    <row r="90" spans="1:10">
      <c r="A90" s="5">
        <v>44256</v>
      </c>
      <c r="B90" s="4" t="s">
        <v>41</v>
      </c>
      <c r="C90" s="4" t="s">
        <v>42</v>
      </c>
      <c r="D90" s="4" t="s">
        <v>43</v>
      </c>
      <c r="E90" s="4" t="s">
        <v>3</v>
      </c>
      <c r="F90" s="6">
        <v>13244.7</v>
      </c>
      <c r="G90" s="4" t="s">
        <v>27</v>
      </c>
      <c r="H90" s="9">
        <v>15000</v>
      </c>
      <c r="I90" s="8" cm="1">
        <f t="array" ref="I90">IF(F90 &gt;= H90,F90 * commission, 0)</f>
        <v>0</v>
      </c>
      <c r="J90" s="13">
        <f>Sales_Data[[#This Row],[Sales Amount]] - Sales_Data[[#This Row],[Targets]]</f>
        <v>-1755.2999999999993</v>
      </c>
    </row>
    <row r="91" spans="1:10">
      <c r="A91" s="5">
        <v>44256</v>
      </c>
      <c r="B91" s="4" t="s">
        <v>50</v>
      </c>
      <c r="C91" s="4" t="s">
        <v>51</v>
      </c>
      <c r="D91" s="4" t="s">
        <v>52</v>
      </c>
      <c r="E91" s="4" t="s">
        <v>3</v>
      </c>
      <c r="F91" s="6">
        <v>23014.400000000001</v>
      </c>
      <c r="G91" s="4" t="s">
        <v>27</v>
      </c>
      <c r="H91" s="9">
        <v>15000</v>
      </c>
      <c r="I91" s="8" cm="1">
        <f t="array" ref="I91">IF(F91 &gt;= H91,F91 * commission, 0)</f>
        <v>2301.44</v>
      </c>
      <c r="J91" s="13">
        <f>Sales_Data[[#This Row],[Sales Amount]] - Sales_Data[[#This Row],[Targets]]</f>
        <v>8014.4000000000015</v>
      </c>
    </row>
    <row r="92" spans="1:10">
      <c r="A92" s="5">
        <v>44256</v>
      </c>
      <c r="B92" s="4" t="s">
        <v>41</v>
      </c>
      <c r="C92" s="4" t="s">
        <v>42</v>
      </c>
      <c r="D92" s="4" t="s">
        <v>43</v>
      </c>
      <c r="E92" s="4" t="s">
        <v>3</v>
      </c>
      <c r="F92" s="6">
        <v>26200</v>
      </c>
      <c r="G92" s="4" t="s">
        <v>22</v>
      </c>
      <c r="H92" s="9">
        <v>15000</v>
      </c>
      <c r="I92" s="8" cm="1">
        <f t="array" ref="I92">IF(F92 &gt;= H92,F92 * commission, 0)</f>
        <v>2620</v>
      </c>
      <c r="J92" s="13">
        <f>Sales_Data[[#This Row],[Sales Amount]] - Sales_Data[[#This Row],[Targets]]</f>
        <v>11200</v>
      </c>
    </row>
    <row r="93" spans="1:10">
      <c r="A93" s="5">
        <v>44256</v>
      </c>
      <c r="B93" s="4" t="s">
        <v>44</v>
      </c>
      <c r="C93" s="4" t="s">
        <v>45</v>
      </c>
      <c r="D93" s="4" t="s">
        <v>46</v>
      </c>
      <c r="E93" s="4" t="s">
        <v>3</v>
      </c>
      <c r="F93" s="6">
        <v>28286.399999999998</v>
      </c>
      <c r="G93" s="4" t="s">
        <v>27</v>
      </c>
      <c r="H93" s="9">
        <v>15000</v>
      </c>
      <c r="I93" s="8" cm="1">
        <f t="array" ref="I93">IF(F93 &gt;= H93,F93 * commission, 0)</f>
        <v>2828.64</v>
      </c>
      <c r="J93" s="13">
        <f>Sales_Data[[#This Row],[Sales Amount]] - Sales_Data[[#This Row],[Targets]]</f>
        <v>13286.399999999998</v>
      </c>
    </row>
    <row r="94" spans="1:10">
      <c r="A94" s="5">
        <v>44256</v>
      </c>
      <c r="B94" s="4" t="s">
        <v>41</v>
      </c>
      <c r="C94" s="4" t="s">
        <v>42</v>
      </c>
      <c r="D94" s="4" t="s">
        <v>43</v>
      </c>
      <c r="E94" s="4" t="s">
        <v>3</v>
      </c>
      <c r="F94" s="6">
        <v>35715.4</v>
      </c>
      <c r="G94" s="4" t="s">
        <v>22</v>
      </c>
      <c r="H94" s="9">
        <v>15000</v>
      </c>
      <c r="I94" s="8" cm="1">
        <f t="array" ref="I94">IF(F94 &gt;= H94,F94 * commission, 0)</f>
        <v>3571.5400000000004</v>
      </c>
      <c r="J94" s="13">
        <f>Sales_Data[[#This Row],[Sales Amount]] - Sales_Data[[#This Row],[Targets]]</f>
        <v>20715.400000000001</v>
      </c>
    </row>
    <row r="95" spans="1:10">
      <c r="A95" s="5">
        <v>44256</v>
      </c>
      <c r="B95" s="4" t="s">
        <v>62</v>
      </c>
      <c r="C95" s="4" t="s">
        <v>63</v>
      </c>
      <c r="D95" s="4" t="s">
        <v>64</v>
      </c>
      <c r="E95" s="4" t="s">
        <v>5</v>
      </c>
      <c r="F95" s="6">
        <v>6708.9</v>
      </c>
      <c r="G95" s="4" t="s">
        <v>28</v>
      </c>
      <c r="H95" s="9">
        <v>15000</v>
      </c>
      <c r="I95" s="8" cm="1">
        <f t="array" ref="I95">IF(F95 &gt;= H95,F95 * commission, 0)</f>
        <v>0</v>
      </c>
      <c r="J95" s="13">
        <f>Sales_Data[[#This Row],[Sales Amount]] - Sales_Data[[#This Row],[Targets]]</f>
        <v>-8291.1</v>
      </c>
    </row>
    <row r="96" spans="1:10">
      <c r="A96" s="5">
        <v>44256</v>
      </c>
      <c r="B96" s="4" t="s">
        <v>59</v>
      </c>
      <c r="C96" s="4" t="s">
        <v>60</v>
      </c>
      <c r="D96" s="4" t="s">
        <v>61</v>
      </c>
      <c r="E96" s="4" t="s">
        <v>5</v>
      </c>
      <c r="F96" s="6">
        <v>7982.7</v>
      </c>
      <c r="G96" s="4" t="s">
        <v>28</v>
      </c>
      <c r="H96" s="9">
        <v>15000</v>
      </c>
      <c r="I96" s="8" cm="1">
        <f t="array" ref="I96">IF(F96 &gt;= H96,F96 * commission, 0)</f>
        <v>0</v>
      </c>
      <c r="J96" s="13">
        <f>Sales_Data[[#This Row],[Sales Amount]] - Sales_Data[[#This Row],[Targets]]</f>
        <v>-7017.3</v>
      </c>
    </row>
    <row r="97" spans="1:10">
      <c r="A97" s="5">
        <v>44256</v>
      </c>
      <c r="B97" s="4" t="s">
        <v>56</v>
      </c>
      <c r="C97" s="4" t="s">
        <v>57</v>
      </c>
      <c r="D97" s="4" t="s">
        <v>58</v>
      </c>
      <c r="E97" s="4" t="s">
        <v>5</v>
      </c>
      <c r="F97" s="6">
        <v>8694</v>
      </c>
      <c r="G97" s="4" t="s">
        <v>27</v>
      </c>
      <c r="H97" s="9">
        <v>15000</v>
      </c>
      <c r="I97" s="8" cm="1">
        <f t="array" ref="I97">IF(F97 &gt;= H97,F97 * commission, 0)</f>
        <v>0</v>
      </c>
      <c r="J97" s="13">
        <f>Sales_Data[[#This Row],[Sales Amount]] - Sales_Data[[#This Row],[Targets]]</f>
        <v>-6306</v>
      </c>
    </row>
    <row r="98" spans="1:10">
      <c r="A98" s="5">
        <v>44256</v>
      </c>
      <c r="B98" s="4" t="s">
        <v>56</v>
      </c>
      <c r="C98" s="4" t="s">
        <v>57</v>
      </c>
      <c r="D98" s="4" t="s">
        <v>58</v>
      </c>
      <c r="E98" s="4" t="s">
        <v>5</v>
      </c>
      <c r="F98" s="6">
        <v>9116</v>
      </c>
      <c r="G98" s="4" t="s">
        <v>27</v>
      </c>
      <c r="H98" s="9">
        <v>15000</v>
      </c>
      <c r="I98" s="8" cm="1">
        <f t="array" ref="I98">IF(F98 &gt;= H98,F98 * commission, 0)</f>
        <v>0</v>
      </c>
      <c r="J98" s="13">
        <f>Sales_Data[[#This Row],[Sales Amount]] - Sales_Data[[#This Row],[Targets]]</f>
        <v>-5884</v>
      </c>
    </row>
    <row r="99" spans="1:10">
      <c r="A99" s="5">
        <v>44256</v>
      </c>
      <c r="B99" s="4" t="s">
        <v>59</v>
      </c>
      <c r="C99" s="4" t="s">
        <v>60</v>
      </c>
      <c r="D99" s="4" t="s">
        <v>61</v>
      </c>
      <c r="E99" s="4" t="s">
        <v>5</v>
      </c>
      <c r="F99" s="6">
        <v>10110.299999999999</v>
      </c>
      <c r="G99" s="4" t="s">
        <v>27</v>
      </c>
      <c r="H99" s="9">
        <v>15000</v>
      </c>
      <c r="I99" s="8" cm="1">
        <f t="array" ref="I99">IF(F99 &gt;= H99,F99 * commission, 0)</f>
        <v>0</v>
      </c>
      <c r="J99" s="13">
        <f>Sales_Data[[#This Row],[Sales Amount]] - Sales_Data[[#This Row],[Targets]]</f>
        <v>-4889.7000000000007</v>
      </c>
    </row>
    <row r="100" spans="1:10">
      <c r="A100" s="5">
        <v>44256</v>
      </c>
      <c r="B100" s="4" t="s">
        <v>53</v>
      </c>
      <c r="C100" s="4" t="s">
        <v>54</v>
      </c>
      <c r="D100" s="4" t="s">
        <v>55</v>
      </c>
      <c r="E100" s="4" t="s">
        <v>5</v>
      </c>
      <c r="F100" s="6">
        <v>10451.199999999999</v>
      </c>
      <c r="G100" s="4" t="s">
        <v>27</v>
      </c>
      <c r="H100" s="9">
        <v>15000</v>
      </c>
      <c r="I100" s="8" cm="1">
        <f t="array" ref="I100">IF(F100 &gt;= H100,F100 * commission, 0)</f>
        <v>0</v>
      </c>
      <c r="J100" s="13">
        <f>Sales_Data[[#This Row],[Sales Amount]] - Sales_Data[[#This Row],[Targets]]</f>
        <v>-4548.8000000000011</v>
      </c>
    </row>
    <row r="101" spans="1:10">
      <c r="A101" s="5">
        <v>44256</v>
      </c>
      <c r="B101" s="4" t="s">
        <v>53</v>
      </c>
      <c r="C101" s="4" t="s">
        <v>54</v>
      </c>
      <c r="D101" s="4" t="s">
        <v>55</v>
      </c>
      <c r="E101" s="4" t="s">
        <v>5</v>
      </c>
      <c r="F101" s="6">
        <v>11580.4</v>
      </c>
      <c r="G101" s="4" t="s">
        <v>22</v>
      </c>
      <c r="H101" s="9">
        <v>15000</v>
      </c>
      <c r="I101" s="8" cm="1">
        <f t="array" ref="I101">IF(F101 &gt;= H101,F101 * commission, 0)</f>
        <v>0</v>
      </c>
      <c r="J101" s="13">
        <f>Sales_Data[[#This Row],[Sales Amount]] - Sales_Data[[#This Row],[Targets]]</f>
        <v>-3419.6000000000004</v>
      </c>
    </row>
    <row r="102" spans="1:10">
      <c r="A102" s="5">
        <v>44256</v>
      </c>
      <c r="B102" s="4" t="s">
        <v>56</v>
      </c>
      <c r="C102" s="4" t="s">
        <v>57</v>
      </c>
      <c r="D102" s="4" t="s">
        <v>58</v>
      </c>
      <c r="E102" s="4" t="s">
        <v>5</v>
      </c>
      <c r="F102" s="6">
        <v>14329.5</v>
      </c>
      <c r="G102" s="4" t="s">
        <v>27</v>
      </c>
      <c r="H102" s="9">
        <v>15000</v>
      </c>
      <c r="I102" s="8" cm="1">
        <f t="array" ref="I102">IF(F102 &gt;= H102,F102 * commission, 0)</f>
        <v>0</v>
      </c>
      <c r="J102" s="13">
        <f>Sales_Data[[#This Row],[Sales Amount]] - Sales_Data[[#This Row],[Targets]]</f>
        <v>-670.5</v>
      </c>
    </row>
    <row r="103" spans="1:10">
      <c r="A103" s="5">
        <v>44256</v>
      </c>
      <c r="B103" s="4" t="s">
        <v>56</v>
      </c>
      <c r="C103" s="4" t="s">
        <v>57</v>
      </c>
      <c r="D103" s="4" t="s">
        <v>58</v>
      </c>
      <c r="E103" s="4" t="s">
        <v>5</v>
      </c>
      <c r="F103" s="6">
        <v>20128</v>
      </c>
      <c r="G103" s="4" t="s">
        <v>28</v>
      </c>
      <c r="H103" s="9">
        <v>15000</v>
      </c>
      <c r="I103" s="8" cm="1">
        <f t="array" ref="I103">IF(F103 &gt;= H103,F103 * commission, 0)</f>
        <v>2012.8000000000002</v>
      </c>
      <c r="J103" s="13">
        <f>Sales_Data[[#This Row],[Sales Amount]] - Sales_Data[[#This Row],[Targets]]</f>
        <v>5128</v>
      </c>
    </row>
    <row r="104" spans="1:10">
      <c r="A104" s="5">
        <v>44256</v>
      </c>
      <c r="B104" s="4" t="s">
        <v>62</v>
      </c>
      <c r="C104" s="4" t="s">
        <v>63</v>
      </c>
      <c r="D104" s="4" t="s">
        <v>64</v>
      </c>
      <c r="E104" s="4" t="s">
        <v>5</v>
      </c>
      <c r="F104" s="6">
        <v>21167.999999999996</v>
      </c>
      <c r="G104" s="4" t="s">
        <v>27</v>
      </c>
      <c r="H104" s="9">
        <v>15000</v>
      </c>
      <c r="I104" s="8" cm="1">
        <f t="array" ref="I104">IF(F104 &gt;= H104,F104 * commission, 0)</f>
        <v>2116.7999999999997</v>
      </c>
      <c r="J104" s="13">
        <f>Sales_Data[[#This Row],[Sales Amount]] - Sales_Data[[#This Row],[Targets]]</f>
        <v>6167.9999999999964</v>
      </c>
    </row>
    <row r="105" spans="1:10">
      <c r="A105" s="5">
        <v>44256</v>
      </c>
      <c r="B105" s="4" t="s">
        <v>74</v>
      </c>
      <c r="C105" s="4" t="s">
        <v>75</v>
      </c>
      <c r="D105" s="4" t="s">
        <v>76</v>
      </c>
      <c r="E105" s="4" t="s">
        <v>5</v>
      </c>
      <c r="F105" s="6">
        <v>25102.399999999998</v>
      </c>
      <c r="G105" s="4" t="s">
        <v>22</v>
      </c>
      <c r="H105" s="9">
        <v>15000</v>
      </c>
      <c r="I105" s="8" cm="1">
        <f t="array" ref="I105">IF(F105 &gt;= H105,F105 * commission, 0)</f>
        <v>2510.2399999999998</v>
      </c>
      <c r="J105" s="13">
        <f>Sales_Data[[#This Row],[Sales Amount]] - Sales_Data[[#This Row],[Targets]]</f>
        <v>10102.399999999998</v>
      </c>
    </row>
    <row r="106" spans="1:10">
      <c r="A106" s="5">
        <v>44256</v>
      </c>
      <c r="B106" s="4" t="s">
        <v>74</v>
      </c>
      <c r="C106" s="4" t="s">
        <v>75</v>
      </c>
      <c r="D106" s="4" t="s">
        <v>76</v>
      </c>
      <c r="E106" s="4" t="s">
        <v>5</v>
      </c>
      <c r="F106" s="6">
        <v>27670.9</v>
      </c>
      <c r="G106" s="4" t="s">
        <v>28</v>
      </c>
      <c r="H106" s="9">
        <v>15000</v>
      </c>
      <c r="I106" s="8" cm="1">
        <f t="array" ref="I106">IF(F106 &gt;= H106,F106 * commission, 0)</f>
        <v>2767.09</v>
      </c>
      <c r="J106" s="13">
        <f>Sales_Data[[#This Row],[Sales Amount]] - Sales_Data[[#This Row],[Targets]]</f>
        <v>12670.900000000001</v>
      </c>
    </row>
    <row r="107" spans="1:10">
      <c r="A107" s="5">
        <v>44256</v>
      </c>
      <c r="B107" s="4" t="s">
        <v>74</v>
      </c>
      <c r="C107" s="4" t="s">
        <v>75</v>
      </c>
      <c r="D107" s="4" t="s">
        <v>76</v>
      </c>
      <c r="E107" s="4" t="s">
        <v>5</v>
      </c>
      <c r="F107" s="6">
        <v>27956.799999999999</v>
      </c>
      <c r="G107" s="4" t="s">
        <v>22</v>
      </c>
      <c r="H107" s="9">
        <v>15000</v>
      </c>
      <c r="I107" s="8" cm="1">
        <f t="array" ref="I107">IF(F107 &gt;= H107,F107 * commission, 0)</f>
        <v>2795.6800000000003</v>
      </c>
      <c r="J107" s="13">
        <f>Sales_Data[[#This Row],[Sales Amount]] - Sales_Data[[#This Row],[Targets]]</f>
        <v>12956.8</v>
      </c>
    </row>
    <row r="108" spans="1:10">
      <c r="A108" s="5">
        <v>44256</v>
      </c>
      <c r="B108" s="4" t="s">
        <v>56</v>
      </c>
      <c r="C108" s="4" t="s">
        <v>57</v>
      </c>
      <c r="D108" s="4" t="s">
        <v>58</v>
      </c>
      <c r="E108" s="4" t="s">
        <v>5</v>
      </c>
      <c r="F108" s="6">
        <v>31407</v>
      </c>
      <c r="G108" s="4" t="s">
        <v>22</v>
      </c>
      <c r="H108" s="9">
        <v>15000</v>
      </c>
      <c r="I108" s="8" cm="1">
        <f t="array" ref="I108">IF(F108 &gt;= H108,F108 * commission, 0)</f>
        <v>3140.7000000000003</v>
      </c>
      <c r="J108" s="13">
        <f>Sales_Data[[#This Row],[Sales Amount]] - Sales_Data[[#This Row],[Targets]]</f>
        <v>16407</v>
      </c>
    </row>
    <row r="109" spans="1:10">
      <c r="A109" s="5">
        <v>44256</v>
      </c>
      <c r="B109" s="4" t="s">
        <v>59</v>
      </c>
      <c r="C109" s="4" t="s">
        <v>60</v>
      </c>
      <c r="D109" s="4" t="s">
        <v>61</v>
      </c>
      <c r="E109" s="4" t="s">
        <v>5</v>
      </c>
      <c r="F109" s="6">
        <v>35647.5</v>
      </c>
      <c r="G109" s="4" t="s">
        <v>28</v>
      </c>
      <c r="H109" s="9">
        <v>15000</v>
      </c>
      <c r="I109" s="8" cm="1">
        <f t="array" ref="I109">IF(F109 &gt;= H109,F109 * commission, 0)</f>
        <v>3564.75</v>
      </c>
      <c r="J109" s="13">
        <f>Sales_Data[[#This Row],[Sales Amount]] - Sales_Data[[#This Row],[Targets]]</f>
        <v>20647.5</v>
      </c>
    </row>
    <row r="110" spans="1:10">
      <c r="A110" s="5">
        <v>44256</v>
      </c>
      <c r="B110" s="4" t="s">
        <v>59</v>
      </c>
      <c r="C110" s="4" t="s">
        <v>60</v>
      </c>
      <c r="D110" s="4" t="s">
        <v>61</v>
      </c>
      <c r="E110" s="4" t="s">
        <v>5</v>
      </c>
      <c r="F110" s="6">
        <v>36907.200000000004</v>
      </c>
      <c r="G110" s="4" t="s">
        <v>22</v>
      </c>
      <c r="H110" s="9">
        <v>15000</v>
      </c>
      <c r="I110" s="8" cm="1">
        <f t="array" ref="I110">IF(F110 &gt;= H110,F110 * commission, 0)</f>
        <v>3690.7200000000007</v>
      </c>
      <c r="J110" s="13">
        <f>Sales_Data[[#This Row],[Sales Amount]] - Sales_Data[[#This Row],[Targets]]</f>
        <v>21907.200000000004</v>
      </c>
    </row>
    <row r="111" spans="1:10">
      <c r="A111" s="5">
        <v>44287</v>
      </c>
      <c r="B111" s="4" t="s">
        <v>24</v>
      </c>
      <c r="C111" s="4" t="s">
        <v>25</v>
      </c>
      <c r="D111" s="4" t="s">
        <v>26</v>
      </c>
      <c r="E111" s="4" t="s">
        <v>4</v>
      </c>
      <c r="F111" s="6">
        <v>7029.9</v>
      </c>
      <c r="G111" s="4" t="s">
        <v>28</v>
      </c>
      <c r="H111" s="9">
        <v>15000</v>
      </c>
      <c r="I111" s="8" cm="1">
        <f t="array" ref="I111">IF(F111 &gt;= H111,F111 * commission, 0)</f>
        <v>0</v>
      </c>
      <c r="J111" s="13">
        <f>Sales_Data[[#This Row],[Sales Amount]] - Sales_Data[[#This Row],[Targets]]</f>
        <v>-7970.1</v>
      </c>
    </row>
    <row r="112" spans="1:10">
      <c r="A112" s="5">
        <v>44287</v>
      </c>
      <c r="B112" s="4" t="s">
        <v>24</v>
      </c>
      <c r="C112" s="4" t="s">
        <v>25</v>
      </c>
      <c r="D112" s="4" t="s">
        <v>26</v>
      </c>
      <c r="E112" s="4" t="s">
        <v>4</v>
      </c>
      <c r="F112" s="6">
        <v>11914.400000000001</v>
      </c>
      <c r="G112" s="4" t="s">
        <v>22</v>
      </c>
      <c r="H112" s="9">
        <v>15000</v>
      </c>
      <c r="I112" s="8" cm="1">
        <f t="array" ref="I112">IF(F112 &gt;= H112,F112 * commission, 0)</f>
        <v>0</v>
      </c>
      <c r="J112" s="13">
        <f>Sales_Data[[#This Row],[Sales Amount]] - Sales_Data[[#This Row],[Targets]]</f>
        <v>-3085.5999999999985</v>
      </c>
    </row>
    <row r="113" spans="1:10">
      <c r="A113" s="5">
        <v>44287</v>
      </c>
      <c r="B113" s="4" t="s">
        <v>29</v>
      </c>
      <c r="C113" s="4" t="s">
        <v>30</v>
      </c>
      <c r="D113" s="4" t="s">
        <v>31</v>
      </c>
      <c r="E113" s="4" t="s">
        <v>4</v>
      </c>
      <c r="F113" s="6">
        <v>15919.7</v>
      </c>
      <c r="G113" s="4" t="s">
        <v>27</v>
      </c>
      <c r="H113" s="9">
        <v>15000</v>
      </c>
      <c r="I113" s="8" cm="1">
        <f t="array" ref="I113">IF(F113 &gt;= H113,F113 * commission, 0)</f>
        <v>1591.9700000000003</v>
      </c>
      <c r="J113" s="13">
        <f>Sales_Data[[#This Row],[Sales Amount]] - Sales_Data[[#This Row],[Targets]]</f>
        <v>919.70000000000073</v>
      </c>
    </row>
    <row r="114" spans="1:10">
      <c r="A114" s="5">
        <v>44287</v>
      </c>
      <c r="B114" s="4" t="s">
        <v>19</v>
      </c>
      <c r="C114" s="4" t="s">
        <v>20</v>
      </c>
      <c r="D114" s="4" t="s">
        <v>21</v>
      </c>
      <c r="E114" s="4" t="s">
        <v>4</v>
      </c>
      <c r="F114" s="6">
        <v>17776</v>
      </c>
      <c r="G114" s="4" t="s">
        <v>28</v>
      </c>
      <c r="H114" s="9">
        <v>15000</v>
      </c>
      <c r="I114" s="8" cm="1">
        <f t="array" ref="I114">IF(F114 &gt;= H114,F114 * commission, 0)</f>
        <v>1777.6000000000001</v>
      </c>
      <c r="J114" s="13">
        <f>Sales_Data[[#This Row],[Sales Amount]] - Sales_Data[[#This Row],[Targets]]</f>
        <v>2776</v>
      </c>
    </row>
    <row r="115" spans="1:10">
      <c r="A115" s="5">
        <v>44287</v>
      </c>
      <c r="B115" s="4" t="s">
        <v>65</v>
      </c>
      <c r="C115" s="4" t="s">
        <v>66</v>
      </c>
      <c r="D115" s="4" t="s">
        <v>67</v>
      </c>
      <c r="E115" s="4" t="s">
        <v>4</v>
      </c>
      <c r="F115" s="6">
        <v>36666</v>
      </c>
      <c r="G115" s="4" t="s">
        <v>22</v>
      </c>
      <c r="H115" s="9">
        <v>15000</v>
      </c>
      <c r="I115" s="8" cm="1">
        <f t="array" ref="I115">IF(F115 &gt;= H115,F115 * commission, 0)</f>
        <v>3666.6000000000004</v>
      </c>
      <c r="J115" s="13">
        <f>Sales_Data[[#This Row],[Sales Amount]] - Sales_Data[[#This Row],[Targets]]</f>
        <v>21666</v>
      </c>
    </row>
    <row r="116" spans="1:10">
      <c r="A116" s="5">
        <v>44287</v>
      </c>
      <c r="B116" s="4" t="s">
        <v>19</v>
      </c>
      <c r="C116" s="4" t="s">
        <v>20</v>
      </c>
      <c r="D116" s="4" t="s">
        <v>21</v>
      </c>
      <c r="E116" s="4" t="s">
        <v>4</v>
      </c>
      <c r="F116" s="6">
        <v>38227.699999999997</v>
      </c>
      <c r="G116" s="4" t="s">
        <v>27</v>
      </c>
      <c r="H116" s="9">
        <v>15000</v>
      </c>
      <c r="I116" s="8" cm="1">
        <f t="array" ref="I116">IF(F116 &gt;= H116,F116 * commission, 0)</f>
        <v>3822.77</v>
      </c>
      <c r="J116" s="13">
        <f>Sales_Data[[#This Row],[Sales Amount]] - Sales_Data[[#This Row],[Targets]]</f>
        <v>23227.699999999997</v>
      </c>
    </row>
    <row r="117" spans="1:10">
      <c r="A117" s="5">
        <v>44287</v>
      </c>
      <c r="B117" s="4" t="s">
        <v>19</v>
      </c>
      <c r="C117" s="4" t="s">
        <v>20</v>
      </c>
      <c r="D117" s="4" t="s">
        <v>21</v>
      </c>
      <c r="E117" s="4" t="s">
        <v>4</v>
      </c>
      <c r="F117" s="6">
        <v>51531.199999999997</v>
      </c>
      <c r="G117" s="4" t="s">
        <v>28</v>
      </c>
      <c r="H117" s="9">
        <v>15000</v>
      </c>
      <c r="I117" s="8" cm="1">
        <f t="array" ref="I117">IF(F117 &gt;= H117,F117 * commission, 0)</f>
        <v>5153.12</v>
      </c>
      <c r="J117" s="13">
        <f>Sales_Data[[#This Row],[Sales Amount]] - Sales_Data[[#This Row],[Targets]]</f>
        <v>36531.199999999997</v>
      </c>
    </row>
    <row r="118" spans="1:10">
      <c r="A118" s="5">
        <v>44287</v>
      </c>
      <c r="B118" s="4" t="s">
        <v>35</v>
      </c>
      <c r="C118" s="4" t="s">
        <v>36</v>
      </c>
      <c r="D118" s="4" t="s">
        <v>37</v>
      </c>
      <c r="E118" s="4" t="s">
        <v>2</v>
      </c>
      <c r="F118" s="6">
        <v>8520</v>
      </c>
      <c r="G118" s="4" t="s">
        <v>28</v>
      </c>
      <c r="H118" s="9">
        <v>15000</v>
      </c>
      <c r="I118" s="8" cm="1">
        <f t="array" ref="I118">IF(F118 &gt;= H118,F118 * commission, 0)</f>
        <v>0</v>
      </c>
      <c r="J118" s="13">
        <f>Sales_Data[[#This Row],[Sales Amount]] - Sales_Data[[#This Row],[Targets]]</f>
        <v>-6480</v>
      </c>
    </row>
    <row r="119" spans="1:10">
      <c r="A119" s="5">
        <v>44287</v>
      </c>
      <c r="B119" s="4" t="s">
        <v>77</v>
      </c>
      <c r="C119" s="4" t="s">
        <v>78</v>
      </c>
      <c r="D119" s="4" t="s">
        <v>79</v>
      </c>
      <c r="E119" s="4" t="s">
        <v>2</v>
      </c>
      <c r="F119" s="6">
        <v>14301.599999999999</v>
      </c>
      <c r="G119" s="4" t="s">
        <v>28</v>
      </c>
      <c r="H119" s="9">
        <v>15000</v>
      </c>
      <c r="I119" s="8" cm="1">
        <f t="array" ref="I119">IF(F119 &gt;= H119,F119 * commission, 0)</f>
        <v>0</v>
      </c>
      <c r="J119" s="13">
        <f>Sales_Data[[#This Row],[Sales Amount]] - Sales_Data[[#This Row],[Targets]]</f>
        <v>-698.40000000000146</v>
      </c>
    </row>
    <row r="120" spans="1:10">
      <c r="A120" s="5">
        <v>44287</v>
      </c>
      <c r="B120" s="4" t="s">
        <v>77</v>
      </c>
      <c r="C120" s="4" t="s">
        <v>78</v>
      </c>
      <c r="D120" s="4" t="s">
        <v>79</v>
      </c>
      <c r="E120" s="4" t="s">
        <v>2</v>
      </c>
      <c r="F120" s="6">
        <v>17204.399999999998</v>
      </c>
      <c r="G120" s="4" t="s">
        <v>27</v>
      </c>
      <c r="H120" s="9">
        <v>15000</v>
      </c>
      <c r="I120" s="8" cm="1">
        <f t="array" ref="I120">IF(F120 &gt;= H120,F120 * commission, 0)</f>
        <v>1720.4399999999998</v>
      </c>
      <c r="J120" s="13">
        <f>Sales_Data[[#This Row],[Sales Amount]] - Sales_Data[[#This Row],[Targets]]</f>
        <v>2204.3999999999978</v>
      </c>
    </row>
    <row r="121" spans="1:10">
      <c r="A121" s="5">
        <v>44287</v>
      </c>
      <c r="B121" s="4" t="s">
        <v>80</v>
      </c>
      <c r="C121" s="4" t="s">
        <v>81</v>
      </c>
      <c r="D121" s="4" t="s">
        <v>82</v>
      </c>
      <c r="E121" s="4" t="s">
        <v>2</v>
      </c>
      <c r="F121" s="6">
        <v>19080</v>
      </c>
      <c r="G121" s="4" t="s">
        <v>22</v>
      </c>
      <c r="H121" s="9">
        <v>15000</v>
      </c>
      <c r="I121" s="8" cm="1">
        <f t="array" ref="I121">IF(F121 &gt;= H121,F121 * commission, 0)</f>
        <v>1908</v>
      </c>
      <c r="J121" s="13">
        <f>Sales_Data[[#This Row],[Sales Amount]] - Sales_Data[[#This Row],[Targets]]</f>
        <v>4080</v>
      </c>
    </row>
    <row r="122" spans="1:10">
      <c r="A122" s="5">
        <v>44287</v>
      </c>
      <c r="B122" s="4" t="s">
        <v>35</v>
      </c>
      <c r="C122" s="4" t="s">
        <v>36</v>
      </c>
      <c r="D122" s="4" t="s">
        <v>37</v>
      </c>
      <c r="E122" s="4" t="s">
        <v>2</v>
      </c>
      <c r="F122" s="6">
        <v>19210.400000000001</v>
      </c>
      <c r="G122" s="4" t="s">
        <v>27</v>
      </c>
      <c r="H122" s="9">
        <v>15000</v>
      </c>
      <c r="I122" s="8" cm="1">
        <f t="array" ref="I122">IF(F122 &gt;= H122,F122 * commission, 0)</f>
        <v>1921.0400000000002</v>
      </c>
      <c r="J122" s="13">
        <f>Sales_Data[[#This Row],[Sales Amount]] - Sales_Data[[#This Row],[Targets]]</f>
        <v>4210.4000000000015</v>
      </c>
    </row>
    <row r="123" spans="1:10">
      <c r="A123" s="5">
        <v>44287</v>
      </c>
      <c r="B123" s="4" t="s">
        <v>35</v>
      </c>
      <c r="C123" s="4" t="s">
        <v>36</v>
      </c>
      <c r="D123" s="4" t="s">
        <v>37</v>
      </c>
      <c r="E123" s="4" t="s">
        <v>2</v>
      </c>
      <c r="F123" s="6">
        <v>32282.799999999996</v>
      </c>
      <c r="G123" s="4" t="s">
        <v>22</v>
      </c>
      <c r="H123" s="9">
        <v>15000</v>
      </c>
      <c r="I123" s="8" cm="1">
        <f t="array" ref="I123">IF(F123 &gt;= H123,F123 * commission, 0)</f>
        <v>3228.2799999999997</v>
      </c>
      <c r="J123" s="13">
        <f>Sales_Data[[#This Row],[Sales Amount]] - Sales_Data[[#This Row],[Targets]]</f>
        <v>17282.799999999996</v>
      </c>
    </row>
    <row r="124" spans="1:10">
      <c r="A124" s="5">
        <v>44287</v>
      </c>
      <c r="B124" s="4" t="s">
        <v>68</v>
      </c>
      <c r="C124" s="4" t="s">
        <v>69</v>
      </c>
      <c r="D124" s="4" t="s">
        <v>70</v>
      </c>
      <c r="E124" s="4" t="s">
        <v>2</v>
      </c>
      <c r="F124" s="6">
        <v>32524.1</v>
      </c>
      <c r="G124" s="4" t="s">
        <v>27</v>
      </c>
      <c r="H124" s="9">
        <v>15000</v>
      </c>
      <c r="I124" s="8" cm="1">
        <f t="array" ref="I124">IF(F124 &gt;= H124,F124 * commission, 0)</f>
        <v>3252.41</v>
      </c>
      <c r="J124" s="13">
        <f>Sales_Data[[#This Row],[Sales Amount]] - Sales_Data[[#This Row],[Targets]]</f>
        <v>17524.099999999999</v>
      </c>
    </row>
    <row r="125" spans="1:10">
      <c r="A125" s="5">
        <v>44287</v>
      </c>
      <c r="B125" s="4" t="s">
        <v>35</v>
      </c>
      <c r="C125" s="4" t="s">
        <v>36</v>
      </c>
      <c r="D125" s="4" t="s">
        <v>37</v>
      </c>
      <c r="E125" s="4" t="s">
        <v>2</v>
      </c>
      <c r="F125" s="6">
        <v>35153.799999999996</v>
      </c>
      <c r="G125" s="4" t="s">
        <v>27</v>
      </c>
      <c r="H125" s="9">
        <v>15000</v>
      </c>
      <c r="I125" s="8" cm="1">
        <f t="array" ref="I125">IF(F125 &gt;= H125,F125 * commission, 0)</f>
        <v>3515.3799999999997</v>
      </c>
      <c r="J125" s="13">
        <f>Sales_Data[[#This Row],[Sales Amount]] - Sales_Data[[#This Row],[Targets]]</f>
        <v>20153.799999999996</v>
      </c>
    </row>
    <row r="126" spans="1:10">
      <c r="A126" s="5">
        <v>44287</v>
      </c>
      <c r="B126" s="4" t="s">
        <v>35</v>
      </c>
      <c r="C126" s="4" t="s">
        <v>36</v>
      </c>
      <c r="D126" s="4" t="s">
        <v>37</v>
      </c>
      <c r="E126" s="4" t="s">
        <v>2</v>
      </c>
      <c r="F126" s="6">
        <v>35820</v>
      </c>
      <c r="G126" s="4" t="s">
        <v>28</v>
      </c>
      <c r="H126" s="9">
        <v>15000</v>
      </c>
      <c r="I126" s="8" cm="1">
        <f t="array" ref="I126">IF(F126 &gt;= H126,F126 * commission, 0)</f>
        <v>3582</v>
      </c>
      <c r="J126" s="13">
        <f>Sales_Data[[#This Row],[Sales Amount]] - Sales_Data[[#This Row],[Targets]]</f>
        <v>20820</v>
      </c>
    </row>
    <row r="127" spans="1:10">
      <c r="A127" s="5">
        <v>44287</v>
      </c>
      <c r="B127" s="4" t="s">
        <v>38</v>
      </c>
      <c r="C127" s="4" t="s">
        <v>39</v>
      </c>
      <c r="D127" s="4" t="s">
        <v>40</v>
      </c>
      <c r="E127" s="4" t="s">
        <v>2</v>
      </c>
      <c r="F127" s="6">
        <v>42690.400000000001</v>
      </c>
      <c r="G127" s="4" t="s">
        <v>28</v>
      </c>
      <c r="H127" s="9">
        <v>15000</v>
      </c>
      <c r="I127" s="8" cm="1">
        <f t="array" ref="I127">IF(F127 &gt;= H127,F127 * commission, 0)</f>
        <v>4269.04</v>
      </c>
      <c r="J127" s="13">
        <f>Sales_Data[[#This Row],[Sales Amount]] - Sales_Data[[#This Row],[Targets]]</f>
        <v>27690.400000000001</v>
      </c>
    </row>
    <row r="128" spans="1:10">
      <c r="A128" s="5">
        <v>44287</v>
      </c>
      <c r="B128" s="4" t="s">
        <v>71</v>
      </c>
      <c r="C128" s="4" t="s">
        <v>72</v>
      </c>
      <c r="D128" s="4" t="s">
        <v>73</v>
      </c>
      <c r="E128" s="4" t="s">
        <v>3</v>
      </c>
      <c r="F128" s="6">
        <v>6960</v>
      </c>
      <c r="G128" s="4" t="s">
        <v>28</v>
      </c>
      <c r="H128" s="9">
        <v>15000</v>
      </c>
      <c r="I128" s="8" cm="1">
        <f t="array" ref="I128">IF(F128 &gt;= H128,F128 * commission, 0)</f>
        <v>0</v>
      </c>
      <c r="J128" s="13">
        <f>Sales_Data[[#This Row],[Sales Amount]] - Sales_Data[[#This Row],[Targets]]</f>
        <v>-8040</v>
      </c>
    </row>
    <row r="129" spans="1:10">
      <c r="A129" s="5">
        <v>44287</v>
      </c>
      <c r="B129" s="4" t="s">
        <v>50</v>
      </c>
      <c r="C129" s="4" t="s">
        <v>51</v>
      </c>
      <c r="D129" s="4" t="s">
        <v>52</v>
      </c>
      <c r="E129" s="4" t="s">
        <v>3</v>
      </c>
      <c r="F129" s="6">
        <v>9627.8999999999978</v>
      </c>
      <c r="G129" s="4" t="s">
        <v>27</v>
      </c>
      <c r="H129" s="9">
        <v>15000</v>
      </c>
      <c r="I129" s="8" cm="1">
        <f t="array" ref="I129">IF(F129 &gt;= H129,F129 * commission, 0)</f>
        <v>0</v>
      </c>
      <c r="J129" s="13">
        <f>Sales_Data[[#This Row],[Sales Amount]] - Sales_Data[[#This Row],[Targets]]</f>
        <v>-5372.1000000000022</v>
      </c>
    </row>
    <row r="130" spans="1:10">
      <c r="A130" s="5">
        <v>44287</v>
      </c>
      <c r="B130" s="4" t="s">
        <v>47</v>
      </c>
      <c r="C130" s="4" t="s">
        <v>48</v>
      </c>
      <c r="D130" s="4" t="s">
        <v>49</v>
      </c>
      <c r="E130" s="4" t="s">
        <v>3</v>
      </c>
      <c r="F130" s="6">
        <v>13725.600000000002</v>
      </c>
      <c r="G130" s="4" t="s">
        <v>28</v>
      </c>
      <c r="H130" s="9">
        <v>15000</v>
      </c>
      <c r="I130" s="8" cm="1">
        <f t="array" ref="I130">IF(F130 &gt;= H130,F130 * commission, 0)</f>
        <v>0</v>
      </c>
      <c r="J130" s="13">
        <f>Sales_Data[[#This Row],[Sales Amount]] - Sales_Data[[#This Row],[Targets]]</f>
        <v>-1274.3999999999978</v>
      </c>
    </row>
    <row r="131" spans="1:10">
      <c r="A131" s="5">
        <v>44287</v>
      </c>
      <c r="B131" s="4" t="s">
        <v>50</v>
      </c>
      <c r="C131" s="4" t="s">
        <v>51</v>
      </c>
      <c r="D131" s="4" t="s">
        <v>52</v>
      </c>
      <c r="E131" s="4" t="s">
        <v>3</v>
      </c>
      <c r="F131" s="6">
        <v>15353.2</v>
      </c>
      <c r="G131" s="4" t="s">
        <v>27</v>
      </c>
      <c r="H131" s="9">
        <v>15000</v>
      </c>
      <c r="I131" s="8" cm="1">
        <f t="array" ref="I131">IF(F131 &gt;= H131,F131 * commission, 0)</f>
        <v>1535.3200000000002</v>
      </c>
      <c r="J131" s="13">
        <f>Sales_Data[[#This Row],[Sales Amount]] - Sales_Data[[#This Row],[Targets]]</f>
        <v>353.20000000000073</v>
      </c>
    </row>
    <row r="132" spans="1:10">
      <c r="A132" s="5">
        <v>44287</v>
      </c>
      <c r="B132" s="4" t="s">
        <v>41</v>
      </c>
      <c r="C132" s="4" t="s">
        <v>42</v>
      </c>
      <c r="D132" s="4" t="s">
        <v>43</v>
      </c>
      <c r="E132" s="4" t="s">
        <v>3</v>
      </c>
      <c r="F132" s="6">
        <v>18994.5</v>
      </c>
      <c r="G132" s="4" t="s">
        <v>22</v>
      </c>
      <c r="H132" s="9">
        <v>15000</v>
      </c>
      <c r="I132" s="8" cm="1">
        <f t="array" ref="I132">IF(F132 &gt;= H132,F132 * commission, 0)</f>
        <v>1899.45</v>
      </c>
      <c r="J132" s="13">
        <f>Sales_Data[[#This Row],[Sales Amount]] - Sales_Data[[#This Row],[Targets]]</f>
        <v>3994.5</v>
      </c>
    </row>
    <row r="133" spans="1:10">
      <c r="A133" s="5">
        <v>44287</v>
      </c>
      <c r="B133" s="4" t="s">
        <v>41</v>
      </c>
      <c r="C133" s="4" t="s">
        <v>42</v>
      </c>
      <c r="D133" s="4" t="s">
        <v>43</v>
      </c>
      <c r="E133" s="4" t="s">
        <v>3</v>
      </c>
      <c r="F133" s="6">
        <v>28628.799999999996</v>
      </c>
      <c r="G133" s="4" t="s">
        <v>28</v>
      </c>
      <c r="H133" s="9">
        <v>15000</v>
      </c>
      <c r="I133" s="8" cm="1">
        <f t="array" ref="I133">IF(F133 &gt;= H133,F133 * commission, 0)</f>
        <v>2862.8799999999997</v>
      </c>
      <c r="J133" s="13">
        <f>Sales_Data[[#This Row],[Sales Amount]] - Sales_Data[[#This Row],[Targets]]</f>
        <v>13628.799999999996</v>
      </c>
    </row>
    <row r="134" spans="1:10">
      <c r="A134" s="5">
        <v>44287</v>
      </c>
      <c r="B134" s="4" t="s">
        <v>59</v>
      </c>
      <c r="C134" s="4" t="s">
        <v>60</v>
      </c>
      <c r="D134" s="4" t="s">
        <v>61</v>
      </c>
      <c r="E134" s="4" t="s">
        <v>5</v>
      </c>
      <c r="F134" s="6">
        <v>5696.4</v>
      </c>
      <c r="G134" s="4" t="s">
        <v>27</v>
      </c>
      <c r="H134" s="9">
        <v>15000</v>
      </c>
      <c r="I134" s="8" cm="1">
        <f t="array" ref="I134">IF(F134 &gt;= H134,F134 * commission, 0)</f>
        <v>0</v>
      </c>
      <c r="J134" s="13">
        <f>Sales_Data[[#This Row],[Sales Amount]] - Sales_Data[[#This Row],[Targets]]</f>
        <v>-9303.6</v>
      </c>
    </row>
    <row r="135" spans="1:10">
      <c r="A135" s="5">
        <v>44287</v>
      </c>
      <c r="B135" s="4" t="s">
        <v>53</v>
      </c>
      <c r="C135" s="4" t="s">
        <v>54</v>
      </c>
      <c r="D135" s="4" t="s">
        <v>55</v>
      </c>
      <c r="E135" s="4" t="s">
        <v>5</v>
      </c>
      <c r="F135" s="6">
        <v>11716.5</v>
      </c>
      <c r="G135" s="4" t="s">
        <v>27</v>
      </c>
      <c r="H135" s="9">
        <v>15000</v>
      </c>
      <c r="I135" s="8" cm="1">
        <f t="array" ref="I135">IF(F135 &gt;= H135,F135 * commission, 0)</f>
        <v>0</v>
      </c>
      <c r="J135" s="13">
        <f>Sales_Data[[#This Row],[Sales Amount]] - Sales_Data[[#This Row],[Targets]]</f>
        <v>-3283.5</v>
      </c>
    </row>
    <row r="136" spans="1:10">
      <c r="A136" s="5">
        <v>44287</v>
      </c>
      <c r="B136" s="4" t="s">
        <v>62</v>
      </c>
      <c r="C136" s="4" t="s">
        <v>63</v>
      </c>
      <c r="D136" s="4" t="s">
        <v>64</v>
      </c>
      <c r="E136" s="4" t="s">
        <v>5</v>
      </c>
      <c r="F136" s="6">
        <v>14416</v>
      </c>
      <c r="G136" s="4" t="s">
        <v>28</v>
      </c>
      <c r="H136" s="9">
        <v>15000</v>
      </c>
      <c r="I136" s="8" cm="1">
        <f t="array" ref="I136">IF(F136 &gt;= H136,F136 * commission, 0)</f>
        <v>0</v>
      </c>
      <c r="J136" s="13">
        <f>Sales_Data[[#This Row],[Sales Amount]] - Sales_Data[[#This Row],[Targets]]</f>
        <v>-584</v>
      </c>
    </row>
    <row r="137" spans="1:10">
      <c r="A137" s="5">
        <v>44287</v>
      </c>
      <c r="B137" s="4" t="s">
        <v>53</v>
      </c>
      <c r="C137" s="4" t="s">
        <v>54</v>
      </c>
      <c r="D137" s="4" t="s">
        <v>55</v>
      </c>
      <c r="E137" s="4" t="s">
        <v>5</v>
      </c>
      <c r="F137" s="6">
        <v>16499.400000000001</v>
      </c>
      <c r="G137" s="4" t="s">
        <v>22</v>
      </c>
      <c r="H137" s="9">
        <v>15000</v>
      </c>
      <c r="I137" s="8" cm="1">
        <f t="array" ref="I137">IF(F137 &gt;= H137,F137 * commission, 0)</f>
        <v>1649.9400000000003</v>
      </c>
      <c r="J137" s="13">
        <f>Sales_Data[[#This Row],[Sales Amount]] - Sales_Data[[#This Row],[Targets]]</f>
        <v>1499.4000000000015</v>
      </c>
    </row>
    <row r="138" spans="1:10">
      <c r="A138" s="5">
        <v>44287</v>
      </c>
      <c r="B138" s="4" t="s">
        <v>59</v>
      </c>
      <c r="C138" s="4" t="s">
        <v>60</v>
      </c>
      <c r="D138" s="4" t="s">
        <v>61</v>
      </c>
      <c r="E138" s="4" t="s">
        <v>5</v>
      </c>
      <c r="F138" s="6">
        <v>16968</v>
      </c>
      <c r="G138" s="4" t="s">
        <v>28</v>
      </c>
      <c r="H138" s="9">
        <v>15000</v>
      </c>
      <c r="I138" s="8" cm="1">
        <f t="array" ref="I138">IF(F138 &gt;= H138,F138 * commission, 0)</f>
        <v>1696.8000000000002</v>
      </c>
      <c r="J138" s="13">
        <f>Sales_Data[[#This Row],[Sales Amount]] - Sales_Data[[#This Row],[Targets]]</f>
        <v>1968</v>
      </c>
    </row>
    <row r="139" spans="1:10">
      <c r="A139" s="5">
        <v>44287</v>
      </c>
      <c r="B139" s="4" t="s">
        <v>56</v>
      </c>
      <c r="C139" s="4" t="s">
        <v>57</v>
      </c>
      <c r="D139" s="4" t="s">
        <v>58</v>
      </c>
      <c r="E139" s="4" t="s">
        <v>5</v>
      </c>
      <c r="F139" s="6">
        <v>17993.5</v>
      </c>
      <c r="G139" s="4" t="s">
        <v>27</v>
      </c>
      <c r="H139" s="9">
        <v>15000</v>
      </c>
      <c r="I139" s="8" cm="1">
        <f t="array" ref="I139">IF(F139 &gt;= H139,F139 * commission, 0)</f>
        <v>1799.3500000000001</v>
      </c>
      <c r="J139" s="13">
        <f>Sales_Data[[#This Row],[Sales Amount]] - Sales_Data[[#This Row],[Targets]]</f>
        <v>2993.5</v>
      </c>
    </row>
    <row r="140" spans="1:10">
      <c r="A140" s="5">
        <v>44287</v>
      </c>
      <c r="B140" s="4" t="s">
        <v>59</v>
      </c>
      <c r="C140" s="4" t="s">
        <v>60</v>
      </c>
      <c r="D140" s="4" t="s">
        <v>61</v>
      </c>
      <c r="E140" s="4" t="s">
        <v>5</v>
      </c>
      <c r="F140" s="6">
        <v>18188.399999999998</v>
      </c>
      <c r="G140" s="4" t="s">
        <v>22</v>
      </c>
      <c r="H140" s="9">
        <v>15000</v>
      </c>
      <c r="I140" s="8" cm="1">
        <f t="array" ref="I140">IF(F140 &gt;= H140,F140 * commission, 0)</f>
        <v>1818.84</v>
      </c>
      <c r="J140" s="13">
        <f>Sales_Data[[#This Row],[Sales Amount]] - Sales_Data[[#This Row],[Targets]]</f>
        <v>3188.3999999999978</v>
      </c>
    </row>
    <row r="141" spans="1:10">
      <c r="A141" s="5">
        <v>44317</v>
      </c>
      <c r="B141" s="4" t="s">
        <v>32</v>
      </c>
      <c r="C141" s="4" t="s">
        <v>33</v>
      </c>
      <c r="D141" s="4" t="s">
        <v>34</v>
      </c>
      <c r="E141" s="4" t="s">
        <v>4</v>
      </c>
      <c r="F141" s="6">
        <v>8686.6</v>
      </c>
      <c r="G141" s="4" t="s">
        <v>22</v>
      </c>
      <c r="H141" s="9">
        <v>15000</v>
      </c>
      <c r="I141" s="8" cm="1">
        <f t="array" ref="I141">IF(F141 &gt;= H141,F141 * commission, 0)</f>
        <v>0</v>
      </c>
      <c r="J141" s="13">
        <f>Sales_Data[[#This Row],[Sales Amount]] - Sales_Data[[#This Row],[Targets]]</f>
        <v>-6313.4</v>
      </c>
    </row>
    <row r="142" spans="1:10">
      <c r="A142" s="5">
        <v>44317</v>
      </c>
      <c r="B142" s="4" t="s">
        <v>19</v>
      </c>
      <c r="C142" s="4" t="s">
        <v>20</v>
      </c>
      <c r="D142" s="4" t="s">
        <v>21</v>
      </c>
      <c r="E142" s="4" t="s">
        <v>4</v>
      </c>
      <c r="F142" s="6">
        <v>12422.2</v>
      </c>
      <c r="G142" s="4" t="s">
        <v>28</v>
      </c>
      <c r="H142" s="9">
        <v>15000</v>
      </c>
      <c r="I142" s="8" cm="1">
        <f t="array" ref="I142">IF(F142 &gt;= H142,F142 * commission, 0)</f>
        <v>0</v>
      </c>
      <c r="J142" s="13">
        <f>Sales_Data[[#This Row],[Sales Amount]] - Sales_Data[[#This Row],[Targets]]</f>
        <v>-2577.7999999999993</v>
      </c>
    </row>
    <row r="143" spans="1:10">
      <c r="A143" s="5">
        <v>44317</v>
      </c>
      <c r="B143" s="4" t="s">
        <v>65</v>
      </c>
      <c r="C143" s="4" t="s">
        <v>66</v>
      </c>
      <c r="D143" s="4" t="s">
        <v>67</v>
      </c>
      <c r="E143" s="4" t="s">
        <v>4</v>
      </c>
      <c r="F143" s="6">
        <v>15120</v>
      </c>
      <c r="G143" s="4" t="s">
        <v>22</v>
      </c>
      <c r="H143" s="9">
        <v>15000</v>
      </c>
      <c r="I143" s="8" cm="1">
        <f t="array" ref="I143">IF(F143 &gt;= H143,F143 * commission, 0)</f>
        <v>1512</v>
      </c>
      <c r="J143" s="13">
        <f>Sales_Data[[#This Row],[Sales Amount]] - Sales_Data[[#This Row],[Targets]]</f>
        <v>120</v>
      </c>
    </row>
    <row r="144" spans="1:10">
      <c r="A144" s="5">
        <v>44317</v>
      </c>
      <c r="B144" s="4" t="s">
        <v>32</v>
      </c>
      <c r="C144" s="4" t="s">
        <v>33</v>
      </c>
      <c r="D144" s="4" t="s">
        <v>34</v>
      </c>
      <c r="E144" s="4" t="s">
        <v>4</v>
      </c>
      <c r="F144" s="6">
        <v>16604.400000000001</v>
      </c>
      <c r="G144" s="4" t="s">
        <v>28</v>
      </c>
      <c r="H144" s="9">
        <v>15000</v>
      </c>
      <c r="I144" s="8" cm="1">
        <f t="array" ref="I144">IF(F144 &gt;= H144,F144 * commission, 0)</f>
        <v>1660.4400000000003</v>
      </c>
      <c r="J144" s="13">
        <f>Sales_Data[[#This Row],[Sales Amount]] - Sales_Data[[#This Row],[Targets]]</f>
        <v>1604.4000000000015</v>
      </c>
    </row>
    <row r="145" spans="1:10">
      <c r="A145" s="5">
        <v>44317</v>
      </c>
      <c r="B145" s="4" t="s">
        <v>19</v>
      </c>
      <c r="C145" s="4" t="s">
        <v>20</v>
      </c>
      <c r="D145" s="4" t="s">
        <v>21</v>
      </c>
      <c r="E145" s="4" t="s">
        <v>4</v>
      </c>
      <c r="F145" s="6">
        <v>19584</v>
      </c>
      <c r="G145" s="4" t="s">
        <v>22</v>
      </c>
      <c r="H145" s="9">
        <v>15000</v>
      </c>
      <c r="I145" s="8" cm="1">
        <f t="array" ref="I145">IF(F145 &gt;= H145,F145 * commission, 0)</f>
        <v>1958.4</v>
      </c>
      <c r="J145" s="13">
        <f>Sales_Data[[#This Row],[Sales Amount]] - Sales_Data[[#This Row],[Targets]]</f>
        <v>4584</v>
      </c>
    </row>
    <row r="146" spans="1:10">
      <c r="A146" s="5">
        <v>44317</v>
      </c>
      <c r="B146" s="4" t="s">
        <v>29</v>
      </c>
      <c r="C146" s="4" t="s">
        <v>30</v>
      </c>
      <c r="D146" s="4" t="s">
        <v>31</v>
      </c>
      <c r="E146" s="4" t="s">
        <v>4</v>
      </c>
      <c r="F146" s="6">
        <v>26546.6</v>
      </c>
      <c r="G146" s="4" t="s">
        <v>22</v>
      </c>
      <c r="H146" s="9">
        <v>15000</v>
      </c>
      <c r="I146" s="8" cm="1">
        <f t="array" ref="I146">IF(F146 &gt;= H146,F146 * commission, 0)</f>
        <v>2654.66</v>
      </c>
      <c r="J146" s="13">
        <f>Sales_Data[[#This Row],[Sales Amount]] - Sales_Data[[#This Row],[Targets]]</f>
        <v>11546.599999999999</v>
      </c>
    </row>
    <row r="147" spans="1:10">
      <c r="A147" s="5">
        <v>44317</v>
      </c>
      <c r="B147" s="4" t="s">
        <v>29</v>
      </c>
      <c r="C147" s="4" t="s">
        <v>30</v>
      </c>
      <c r="D147" s="4" t="s">
        <v>31</v>
      </c>
      <c r="E147" s="4" t="s">
        <v>4</v>
      </c>
      <c r="F147" s="6">
        <v>31200</v>
      </c>
      <c r="G147" s="4" t="s">
        <v>22</v>
      </c>
      <c r="H147" s="9">
        <v>15000</v>
      </c>
      <c r="I147" s="8" cm="1">
        <f t="array" ref="I147">IF(F147 &gt;= H147,F147 * commission, 0)</f>
        <v>3120</v>
      </c>
      <c r="J147" s="13">
        <f>Sales_Data[[#This Row],[Sales Amount]] - Sales_Data[[#This Row],[Targets]]</f>
        <v>16200</v>
      </c>
    </row>
    <row r="148" spans="1:10">
      <c r="A148" s="5">
        <v>44317</v>
      </c>
      <c r="B148" s="4" t="s">
        <v>38</v>
      </c>
      <c r="C148" s="4" t="s">
        <v>39</v>
      </c>
      <c r="D148" s="4" t="s">
        <v>40</v>
      </c>
      <c r="E148" s="4" t="s">
        <v>2</v>
      </c>
      <c r="F148" s="6">
        <v>9270.1</v>
      </c>
      <c r="G148" s="4" t="s">
        <v>27</v>
      </c>
      <c r="H148" s="9">
        <v>15000</v>
      </c>
      <c r="I148" s="8" cm="1">
        <f t="array" ref="I148">IF(F148 &gt;= H148,F148 * commission, 0)</f>
        <v>0</v>
      </c>
      <c r="J148" s="13">
        <f>Sales_Data[[#This Row],[Sales Amount]] - Sales_Data[[#This Row],[Targets]]</f>
        <v>-5729.9</v>
      </c>
    </row>
    <row r="149" spans="1:10">
      <c r="A149" s="5">
        <v>44317</v>
      </c>
      <c r="B149" s="4" t="s">
        <v>38</v>
      </c>
      <c r="C149" s="4" t="s">
        <v>39</v>
      </c>
      <c r="D149" s="4" t="s">
        <v>40</v>
      </c>
      <c r="E149" s="4" t="s">
        <v>2</v>
      </c>
      <c r="F149" s="6">
        <v>11235</v>
      </c>
      <c r="G149" s="4" t="s">
        <v>28</v>
      </c>
      <c r="H149" s="9">
        <v>15000</v>
      </c>
      <c r="I149" s="8" cm="1">
        <f t="array" ref="I149">IF(F149 &gt;= H149,F149 * commission, 0)</f>
        <v>0</v>
      </c>
      <c r="J149" s="13">
        <f>Sales_Data[[#This Row],[Sales Amount]] - Sales_Data[[#This Row],[Targets]]</f>
        <v>-3765</v>
      </c>
    </row>
    <row r="150" spans="1:10">
      <c r="A150" s="5">
        <v>44317</v>
      </c>
      <c r="B150" s="4" t="s">
        <v>68</v>
      </c>
      <c r="C150" s="4" t="s">
        <v>69</v>
      </c>
      <c r="D150" s="4" t="s">
        <v>70</v>
      </c>
      <c r="E150" s="4" t="s">
        <v>2</v>
      </c>
      <c r="F150" s="6">
        <v>12019.799999999997</v>
      </c>
      <c r="G150" s="4" t="s">
        <v>27</v>
      </c>
      <c r="H150" s="9">
        <v>15000</v>
      </c>
      <c r="I150" s="8" cm="1">
        <f t="array" ref="I150">IF(F150 &gt;= H150,F150 * commission, 0)</f>
        <v>0</v>
      </c>
      <c r="J150" s="13">
        <f>Sales_Data[[#This Row],[Sales Amount]] - Sales_Data[[#This Row],[Targets]]</f>
        <v>-2980.2000000000025</v>
      </c>
    </row>
    <row r="151" spans="1:10">
      <c r="A151" s="5">
        <v>44317</v>
      </c>
      <c r="B151" s="4" t="s">
        <v>35</v>
      </c>
      <c r="C151" s="4" t="s">
        <v>36</v>
      </c>
      <c r="D151" s="4" t="s">
        <v>37</v>
      </c>
      <c r="E151" s="4" t="s">
        <v>2</v>
      </c>
      <c r="F151" s="6">
        <v>27930</v>
      </c>
      <c r="G151" s="4" t="s">
        <v>22</v>
      </c>
      <c r="H151" s="9">
        <v>15000</v>
      </c>
      <c r="I151" s="8" cm="1">
        <f t="array" ref="I151">IF(F151 &gt;= H151,F151 * commission, 0)</f>
        <v>2793</v>
      </c>
      <c r="J151" s="13">
        <f>Sales_Data[[#This Row],[Sales Amount]] - Sales_Data[[#This Row],[Targets]]</f>
        <v>12930</v>
      </c>
    </row>
    <row r="152" spans="1:10">
      <c r="A152" s="5">
        <v>44317</v>
      </c>
      <c r="B152" s="4" t="s">
        <v>71</v>
      </c>
      <c r="C152" s="4" t="s">
        <v>72</v>
      </c>
      <c r="D152" s="4" t="s">
        <v>73</v>
      </c>
      <c r="E152" s="4" t="s">
        <v>3</v>
      </c>
      <c r="F152" s="6">
        <v>10948</v>
      </c>
      <c r="G152" s="4" t="s">
        <v>27</v>
      </c>
      <c r="H152" s="9">
        <v>15000</v>
      </c>
      <c r="I152" s="8" cm="1">
        <f t="array" ref="I152">IF(F152 &gt;= H152,F152 * commission, 0)</f>
        <v>0</v>
      </c>
      <c r="J152" s="13">
        <f>Sales_Data[[#This Row],[Sales Amount]] - Sales_Data[[#This Row],[Targets]]</f>
        <v>-4052</v>
      </c>
    </row>
    <row r="153" spans="1:10">
      <c r="A153" s="5">
        <v>44317</v>
      </c>
      <c r="B153" s="4" t="s">
        <v>44</v>
      </c>
      <c r="C153" s="4" t="s">
        <v>45</v>
      </c>
      <c r="D153" s="4" t="s">
        <v>46</v>
      </c>
      <c r="E153" s="4" t="s">
        <v>3</v>
      </c>
      <c r="F153" s="6">
        <v>13044.899999999998</v>
      </c>
      <c r="G153" s="4" t="s">
        <v>27</v>
      </c>
      <c r="H153" s="9">
        <v>15000</v>
      </c>
      <c r="I153" s="8" cm="1">
        <f t="array" ref="I153">IF(F153 &gt;= H153,F153 * commission, 0)</f>
        <v>0</v>
      </c>
      <c r="J153" s="13">
        <f>Sales_Data[[#This Row],[Sales Amount]] - Sales_Data[[#This Row],[Targets]]</f>
        <v>-1955.1000000000022</v>
      </c>
    </row>
    <row r="154" spans="1:10">
      <c r="A154" s="5">
        <v>44317</v>
      </c>
      <c r="B154" s="4" t="s">
        <v>50</v>
      </c>
      <c r="C154" s="4" t="s">
        <v>51</v>
      </c>
      <c r="D154" s="4" t="s">
        <v>52</v>
      </c>
      <c r="E154" s="4" t="s">
        <v>3</v>
      </c>
      <c r="F154" s="6">
        <v>28616</v>
      </c>
      <c r="G154" s="4" t="s">
        <v>28</v>
      </c>
      <c r="H154" s="9">
        <v>15000</v>
      </c>
      <c r="I154" s="8" cm="1">
        <f t="array" ref="I154">IF(F154 &gt;= H154,F154 * commission, 0)</f>
        <v>2861.6000000000004</v>
      </c>
      <c r="J154" s="13">
        <f>Sales_Data[[#This Row],[Sales Amount]] - Sales_Data[[#This Row],[Targets]]</f>
        <v>13616</v>
      </c>
    </row>
    <row r="155" spans="1:10">
      <c r="A155" s="5">
        <v>44317</v>
      </c>
      <c r="B155" s="4" t="s">
        <v>47</v>
      </c>
      <c r="C155" s="4" t="s">
        <v>48</v>
      </c>
      <c r="D155" s="4" t="s">
        <v>49</v>
      </c>
      <c r="E155" s="4" t="s">
        <v>3</v>
      </c>
      <c r="F155" s="6">
        <v>30377.399999999998</v>
      </c>
      <c r="G155" s="4" t="s">
        <v>28</v>
      </c>
      <c r="H155" s="9">
        <v>15000</v>
      </c>
      <c r="I155" s="8" cm="1">
        <f t="array" ref="I155">IF(F155 &gt;= H155,F155 * commission, 0)</f>
        <v>3037.74</v>
      </c>
      <c r="J155" s="13">
        <f>Sales_Data[[#This Row],[Sales Amount]] - Sales_Data[[#This Row],[Targets]]</f>
        <v>15377.399999999998</v>
      </c>
    </row>
    <row r="156" spans="1:10">
      <c r="A156" s="5">
        <v>44317</v>
      </c>
      <c r="B156" s="4" t="s">
        <v>50</v>
      </c>
      <c r="C156" s="4" t="s">
        <v>51</v>
      </c>
      <c r="D156" s="4" t="s">
        <v>52</v>
      </c>
      <c r="E156" s="4" t="s">
        <v>3</v>
      </c>
      <c r="F156" s="6">
        <v>35351</v>
      </c>
      <c r="G156" s="4" t="s">
        <v>22</v>
      </c>
      <c r="H156" s="9">
        <v>15000</v>
      </c>
      <c r="I156" s="8" cm="1">
        <f t="array" ref="I156">IF(F156 &gt;= H156,F156 * commission, 0)</f>
        <v>3535.1000000000004</v>
      </c>
      <c r="J156" s="13">
        <f>Sales_Data[[#This Row],[Sales Amount]] - Sales_Data[[#This Row],[Targets]]</f>
        <v>20351</v>
      </c>
    </row>
    <row r="157" spans="1:10">
      <c r="A157" s="5">
        <v>44317</v>
      </c>
      <c r="B157" s="4" t="s">
        <v>62</v>
      </c>
      <c r="C157" s="4" t="s">
        <v>63</v>
      </c>
      <c r="D157" s="4" t="s">
        <v>64</v>
      </c>
      <c r="E157" s="4" t="s">
        <v>5</v>
      </c>
      <c r="F157" s="6">
        <v>9004.7999999999993</v>
      </c>
      <c r="G157" s="4" t="s">
        <v>27</v>
      </c>
      <c r="H157" s="9">
        <v>15000</v>
      </c>
      <c r="I157" s="8" cm="1">
        <f t="array" ref="I157">IF(F157 &gt;= H157,F157 * commission, 0)</f>
        <v>0</v>
      </c>
      <c r="J157" s="13">
        <f>Sales_Data[[#This Row],[Sales Amount]] - Sales_Data[[#This Row],[Targets]]</f>
        <v>-5995.2000000000007</v>
      </c>
    </row>
    <row r="158" spans="1:10">
      <c r="A158" s="5">
        <v>44317</v>
      </c>
      <c r="B158" s="4" t="s">
        <v>59</v>
      </c>
      <c r="C158" s="4" t="s">
        <v>60</v>
      </c>
      <c r="D158" s="4" t="s">
        <v>61</v>
      </c>
      <c r="E158" s="4" t="s">
        <v>5</v>
      </c>
      <c r="F158" s="6">
        <v>18826.400000000001</v>
      </c>
      <c r="G158" s="4" t="s">
        <v>28</v>
      </c>
      <c r="H158" s="9">
        <v>15000</v>
      </c>
      <c r="I158" s="8" cm="1">
        <f t="array" ref="I158">IF(F158 &gt;= H158,F158 * commission, 0)</f>
        <v>1882.6400000000003</v>
      </c>
      <c r="J158" s="13">
        <f>Sales_Data[[#This Row],[Sales Amount]] - Sales_Data[[#This Row],[Targets]]</f>
        <v>3826.4000000000015</v>
      </c>
    </row>
    <row r="159" spans="1:10">
      <c r="A159" s="5">
        <v>44317</v>
      </c>
      <c r="B159" s="4" t="s">
        <v>59</v>
      </c>
      <c r="C159" s="4" t="s">
        <v>60</v>
      </c>
      <c r="D159" s="4" t="s">
        <v>61</v>
      </c>
      <c r="E159" s="4" t="s">
        <v>5</v>
      </c>
      <c r="F159" s="6">
        <v>19617.5</v>
      </c>
      <c r="G159" s="4" t="s">
        <v>28</v>
      </c>
      <c r="H159" s="9">
        <v>15000</v>
      </c>
      <c r="I159" s="8" cm="1">
        <f t="array" ref="I159">IF(F159 &gt;= H159,F159 * commission, 0)</f>
        <v>1961.75</v>
      </c>
      <c r="J159" s="13">
        <f>Sales_Data[[#This Row],[Sales Amount]] - Sales_Data[[#This Row],[Targets]]</f>
        <v>4617.5</v>
      </c>
    </row>
    <row r="160" spans="1:10">
      <c r="A160" s="5">
        <v>44317</v>
      </c>
      <c r="B160" s="4" t="s">
        <v>59</v>
      </c>
      <c r="C160" s="4" t="s">
        <v>60</v>
      </c>
      <c r="D160" s="4" t="s">
        <v>61</v>
      </c>
      <c r="E160" s="4" t="s">
        <v>5</v>
      </c>
      <c r="F160" s="6">
        <v>19836.400000000001</v>
      </c>
      <c r="G160" s="4" t="s">
        <v>27</v>
      </c>
      <c r="H160" s="9">
        <v>15000</v>
      </c>
      <c r="I160" s="8" cm="1">
        <f t="array" ref="I160">IF(F160 &gt;= H160,F160 * commission, 0)</f>
        <v>1983.6400000000003</v>
      </c>
      <c r="J160" s="13">
        <f>Sales_Data[[#This Row],[Sales Amount]] - Sales_Data[[#This Row],[Targets]]</f>
        <v>4836.4000000000015</v>
      </c>
    </row>
    <row r="161" spans="1:10">
      <c r="A161" s="5">
        <v>44317</v>
      </c>
      <c r="B161" s="4" t="s">
        <v>56</v>
      </c>
      <c r="C161" s="4" t="s">
        <v>57</v>
      </c>
      <c r="D161" s="4" t="s">
        <v>58</v>
      </c>
      <c r="E161" s="4" t="s">
        <v>5</v>
      </c>
      <c r="F161" s="6">
        <v>20717.599999999999</v>
      </c>
      <c r="G161" s="4" t="s">
        <v>22</v>
      </c>
      <c r="H161" s="9">
        <v>15000</v>
      </c>
      <c r="I161" s="8" cm="1">
        <f t="array" ref="I161">IF(F161 &gt;= H161,F161 * commission, 0)</f>
        <v>2071.7599999999998</v>
      </c>
      <c r="J161" s="13">
        <f>Sales_Data[[#This Row],[Sales Amount]] - Sales_Data[[#This Row],[Targets]]</f>
        <v>5717.5999999999985</v>
      </c>
    </row>
    <row r="162" spans="1:10">
      <c r="A162" s="5">
        <v>44317</v>
      </c>
      <c r="B162" s="4" t="s">
        <v>74</v>
      </c>
      <c r="C162" s="4" t="s">
        <v>75</v>
      </c>
      <c r="D162" s="4" t="s">
        <v>76</v>
      </c>
      <c r="E162" s="4" t="s">
        <v>5</v>
      </c>
      <c r="F162" s="6">
        <v>23364</v>
      </c>
      <c r="G162" s="4" t="s">
        <v>22</v>
      </c>
      <c r="H162" s="9">
        <v>15000</v>
      </c>
      <c r="I162" s="8" cm="1">
        <f t="array" ref="I162">IF(F162 &gt;= H162,F162 * commission, 0)</f>
        <v>2336.4</v>
      </c>
      <c r="J162" s="13">
        <f>Sales_Data[[#This Row],[Sales Amount]] - Sales_Data[[#This Row],[Targets]]</f>
        <v>8364</v>
      </c>
    </row>
    <row r="163" spans="1:10">
      <c r="A163" s="5">
        <v>44317</v>
      </c>
      <c r="B163" s="4" t="s">
        <v>59</v>
      </c>
      <c r="C163" s="4" t="s">
        <v>60</v>
      </c>
      <c r="D163" s="4" t="s">
        <v>61</v>
      </c>
      <c r="E163" s="4" t="s">
        <v>5</v>
      </c>
      <c r="F163" s="6">
        <v>23997.600000000002</v>
      </c>
      <c r="G163" s="4" t="s">
        <v>27</v>
      </c>
      <c r="H163" s="9">
        <v>15000</v>
      </c>
      <c r="I163" s="8" cm="1">
        <f t="array" ref="I163">IF(F163 &gt;= H163,F163 * commission, 0)</f>
        <v>2399.7600000000002</v>
      </c>
      <c r="J163" s="13">
        <f>Sales_Data[[#This Row],[Sales Amount]] - Sales_Data[[#This Row],[Targets]]</f>
        <v>8997.6000000000022</v>
      </c>
    </row>
    <row r="164" spans="1:10">
      <c r="A164" s="5">
        <v>44317</v>
      </c>
      <c r="B164" s="4" t="s">
        <v>62</v>
      </c>
      <c r="C164" s="4" t="s">
        <v>63</v>
      </c>
      <c r="D164" s="4" t="s">
        <v>64</v>
      </c>
      <c r="E164" s="4" t="s">
        <v>5</v>
      </c>
      <c r="F164" s="6">
        <v>27916.399999999998</v>
      </c>
      <c r="G164" s="4" t="s">
        <v>28</v>
      </c>
      <c r="H164" s="9">
        <v>15000</v>
      </c>
      <c r="I164" s="8" cm="1">
        <f t="array" ref="I164">IF(F164 &gt;= H164,F164 * commission, 0)</f>
        <v>2791.64</v>
      </c>
      <c r="J164" s="13">
        <f>Sales_Data[[#This Row],[Sales Amount]] - Sales_Data[[#This Row],[Targets]]</f>
        <v>12916.399999999998</v>
      </c>
    </row>
    <row r="165" spans="1:10">
      <c r="A165" s="5">
        <v>44317</v>
      </c>
      <c r="B165" s="4" t="s">
        <v>62</v>
      </c>
      <c r="C165" s="4" t="s">
        <v>63</v>
      </c>
      <c r="D165" s="4" t="s">
        <v>64</v>
      </c>
      <c r="E165" s="4" t="s">
        <v>5</v>
      </c>
      <c r="F165" s="6">
        <v>42249.1</v>
      </c>
      <c r="G165" s="4" t="s">
        <v>22</v>
      </c>
      <c r="H165" s="9">
        <v>15000</v>
      </c>
      <c r="I165" s="8" cm="1">
        <f t="array" ref="I165">IF(F165 &gt;= H165,F165 * commission, 0)</f>
        <v>4224.91</v>
      </c>
      <c r="J165" s="13">
        <f>Sales_Data[[#This Row],[Sales Amount]] - Sales_Data[[#This Row],[Targets]]</f>
        <v>27249.1</v>
      </c>
    </row>
    <row r="166" spans="1:10">
      <c r="A166" s="5">
        <v>44348</v>
      </c>
      <c r="B166" s="4" t="s">
        <v>29</v>
      </c>
      <c r="C166" s="4" t="s">
        <v>30</v>
      </c>
      <c r="D166" s="4" t="s">
        <v>31</v>
      </c>
      <c r="E166" s="4" t="s">
        <v>4</v>
      </c>
      <c r="F166" s="6">
        <v>2070.2999999999997</v>
      </c>
      <c r="G166" s="4" t="s">
        <v>27</v>
      </c>
      <c r="H166" s="9">
        <v>15000</v>
      </c>
      <c r="I166" s="8" cm="1">
        <f t="array" ref="I166">IF(F166 &gt;= H166,F166 * commission, 0)</f>
        <v>0</v>
      </c>
      <c r="J166" s="13">
        <f>Sales_Data[[#This Row],[Sales Amount]] - Sales_Data[[#This Row],[Targets]]</f>
        <v>-12929.7</v>
      </c>
    </row>
    <row r="167" spans="1:10">
      <c r="A167" s="5">
        <v>44348</v>
      </c>
      <c r="B167" s="4" t="s">
        <v>19</v>
      </c>
      <c r="C167" s="4" t="s">
        <v>20</v>
      </c>
      <c r="D167" s="4" t="s">
        <v>21</v>
      </c>
      <c r="E167" s="4" t="s">
        <v>4</v>
      </c>
      <c r="F167" s="6">
        <v>9499</v>
      </c>
      <c r="G167" s="4" t="s">
        <v>22</v>
      </c>
      <c r="H167" s="9">
        <v>15000</v>
      </c>
      <c r="I167" s="8" cm="1">
        <f t="array" ref="I167">IF(F167 &gt;= H167,F167 * commission, 0)</f>
        <v>0</v>
      </c>
      <c r="J167" s="13">
        <f>Sales_Data[[#This Row],[Sales Amount]] - Sales_Data[[#This Row],[Targets]]</f>
        <v>-5501</v>
      </c>
    </row>
    <row r="168" spans="1:10">
      <c r="A168" s="5">
        <v>44348</v>
      </c>
      <c r="B168" s="4" t="s">
        <v>19</v>
      </c>
      <c r="C168" s="4" t="s">
        <v>20</v>
      </c>
      <c r="D168" s="4" t="s">
        <v>21</v>
      </c>
      <c r="E168" s="4" t="s">
        <v>4</v>
      </c>
      <c r="F168" s="6">
        <v>17904.7</v>
      </c>
      <c r="G168" s="4" t="s">
        <v>28</v>
      </c>
      <c r="H168" s="9">
        <v>15000</v>
      </c>
      <c r="I168" s="8" cm="1">
        <f t="array" ref="I168">IF(F168 &gt;= H168,F168 * commission, 0)</f>
        <v>1790.4700000000003</v>
      </c>
      <c r="J168" s="13">
        <f>Sales_Data[[#This Row],[Sales Amount]] - Sales_Data[[#This Row],[Targets]]</f>
        <v>2904.7000000000007</v>
      </c>
    </row>
    <row r="169" spans="1:10">
      <c r="A169" s="5">
        <v>44348</v>
      </c>
      <c r="B169" s="4" t="s">
        <v>19</v>
      </c>
      <c r="C169" s="4" t="s">
        <v>20</v>
      </c>
      <c r="D169" s="4" t="s">
        <v>21</v>
      </c>
      <c r="E169" s="4" t="s">
        <v>4</v>
      </c>
      <c r="F169" s="6">
        <v>18878.399999999998</v>
      </c>
      <c r="G169" s="4" t="s">
        <v>22</v>
      </c>
      <c r="H169" s="9">
        <v>15000</v>
      </c>
      <c r="I169" s="8" cm="1">
        <f t="array" ref="I169">IF(F169 &gt;= H169,F169 * commission, 0)</f>
        <v>1887.84</v>
      </c>
      <c r="J169" s="13">
        <f>Sales_Data[[#This Row],[Sales Amount]] - Sales_Data[[#This Row],[Targets]]</f>
        <v>3878.3999999999978</v>
      </c>
    </row>
    <row r="170" spans="1:10">
      <c r="A170" s="5">
        <v>44348</v>
      </c>
      <c r="B170" s="4" t="s">
        <v>19</v>
      </c>
      <c r="C170" s="4" t="s">
        <v>20</v>
      </c>
      <c r="D170" s="4" t="s">
        <v>21</v>
      </c>
      <c r="E170" s="4" t="s">
        <v>4</v>
      </c>
      <c r="F170" s="6">
        <v>23445</v>
      </c>
      <c r="G170" s="4" t="s">
        <v>22</v>
      </c>
      <c r="H170" s="9">
        <v>15000</v>
      </c>
      <c r="I170" s="8" cm="1">
        <f t="array" ref="I170">IF(F170 &gt;= H170,F170 * commission, 0)</f>
        <v>2344.5</v>
      </c>
      <c r="J170" s="13">
        <f>Sales_Data[[#This Row],[Sales Amount]] - Sales_Data[[#This Row],[Targets]]</f>
        <v>8445</v>
      </c>
    </row>
    <row r="171" spans="1:10">
      <c r="A171" s="5">
        <v>44348</v>
      </c>
      <c r="B171" s="4" t="s">
        <v>19</v>
      </c>
      <c r="C171" s="4" t="s">
        <v>20</v>
      </c>
      <c r="D171" s="4" t="s">
        <v>21</v>
      </c>
      <c r="E171" s="4" t="s">
        <v>4</v>
      </c>
      <c r="F171" s="6">
        <v>34162</v>
      </c>
      <c r="G171" s="4" t="s">
        <v>22</v>
      </c>
      <c r="H171" s="9">
        <v>15000</v>
      </c>
      <c r="I171" s="8" cm="1">
        <f t="array" ref="I171">IF(F171 &gt;= H171,F171 * commission, 0)</f>
        <v>3416.2000000000003</v>
      </c>
      <c r="J171" s="13">
        <f>Sales_Data[[#This Row],[Sales Amount]] - Sales_Data[[#This Row],[Targets]]</f>
        <v>19162</v>
      </c>
    </row>
    <row r="172" spans="1:10">
      <c r="A172" s="5">
        <v>44348</v>
      </c>
      <c r="B172" s="4" t="s">
        <v>80</v>
      </c>
      <c r="C172" s="4" t="s">
        <v>81</v>
      </c>
      <c r="D172" s="4" t="s">
        <v>82</v>
      </c>
      <c r="E172" s="4" t="s">
        <v>2</v>
      </c>
      <c r="F172" s="6">
        <v>7581.9999999999991</v>
      </c>
      <c r="G172" s="4" t="s">
        <v>27</v>
      </c>
      <c r="H172" s="9">
        <v>15000</v>
      </c>
      <c r="I172" s="8" cm="1">
        <f t="array" ref="I172">IF(F172 &gt;= H172,F172 * commission, 0)</f>
        <v>0</v>
      </c>
      <c r="J172" s="13">
        <f>Sales_Data[[#This Row],[Sales Amount]] - Sales_Data[[#This Row],[Targets]]</f>
        <v>-7418.0000000000009</v>
      </c>
    </row>
    <row r="173" spans="1:10">
      <c r="A173" s="5">
        <v>44348</v>
      </c>
      <c r="B173" s="4" t="s">
        <v>35</v>
      </c>
      <c r="C173" s="4" t="s">
        <v>36</v>
      </c>
      <c r="D173" s="4" t="s">
        <v>37</v>
      </c>
      <c r="E173" s="4" t="s">
        <v>2</v>
      </c>
      <c r="F173" s="6">
        <v>8721.6</v>
      </c>
      <c r="G173" s="4" t="s">
        <v>28</v>
      </c>
      <c r="H173" s="9">
        <v>15000</v>
      </c>
      <c r="I173" s="8" cm="1">
        <f t="array" ref="I173">IF(F173 &gt;= H173,F173 * commission, 0)</f>
        <v>0</v>
      </c>
      <c r="J173" s="13">
        <f>Sales_Data[[#This Row],[Sales Amount]] - Sales_Data[[#This Row],[Targets]]</f>
        <v>-6278.4</v>
      </c>
    </row>
    <row r="174" spans="1:10">
      <c r="A174" s="5">
        <v>44348</v>
      </c>
      <c r="B174" s="4" t="s">
        <v>80</v>
      </c>
      <c r="C174" s="4" t="s">
        <v>81</v>
      </c>
      <c r="D174" s="4" t="s">
        <v>82</v>
      </c>
      <c r="E174" s="4" t="s">
        <v>2</v>
      </c>
      <c r="F174" s="6">
        <v>10500</v>
      </c>
      <c r="G174" s="4" t="s">
        <v>22</v>
      </c>
      <c r="H174" s="9">
        <v>15000</v>
      </c>
      <c r="I174" s="8" cm="1">
        <f t="array" ref="I174">IF(F174 &gt;= H174,F174 * commission, 0)</f>
        <v>0</v>
      </c>
      <c r="J174" s="13">
        <f>Sales_Data[[#This Row],[Sales Amount]] - Sales_Data[[#This Row],[Targets]]</f>
        <v>-4500</v>
      </c>
    </row>
    <row r="175" spans="1:10">
      <c r="A175" s="5">
        <v>44348</v>
      </c>
      <c r="B175" s="4" t="s">
        <v>38</v>
      </c>
      <c r="C175" s="4" t="s">
        <v>39</v>
      </c>
      <c r="D175" s="4" t="s">
        <v>40</v>
      </c>
      <c r="E175" s="4" t="s">
        <v>2</v>
      </c>
      <c r="F175" s="6">
        <v>13466.999999999998</v>
      </c>
      <c r="G175" s="4" t="s">
        <v>28</v>
      </c>
      <c r="H175" s="9">
        <v>15000</v>
      </c>
      <c r="I175" s="8" cm="1">
        <f t="array" ref="I175">IF(F175 &gt;= H175,F175 * commission, 0)</f>
        <v>0</v>
      </c>
      <c r="J175" s="13">
        <f>Sales_Data[[#This Row],[Sales Amount]] - Sales_Data[[#This Row],[Targets]]</f>
        <v>-1533.0000000000018</v>
      </c>
    </row>
    <row r="176" spans="1:10">
      <c r="A176" s="5">
        <v>44348</v>
      </c>
      <c r="B176" s="4" t="s">
        <v>80</v>
      </c>
      <c r="C176" s="4" t="s">
        <v>81</v>
      </c>
      <c r="D176" s="4" t="s">
        <v>82</v>
      </c>
      <c r="E176" s="4" t="s">
        <v>2</v>
      </c>
      <c r="F176" s="6">
        <v>16036.8</v>
      </c>
      <c r="G176" s="4" t="s">
        <v>22</v>
      </c>
      <c r="H176" s="9">
        <v>15000</v>
      </c>
      <c r="I176" s="8" cm="1">
        <f t="array" ref="I176">IF(F176 &gt;= H176,F176 * commission, 0)</f>
        <v>1603.68</v>
      </c>
      <c r="J176" s="13">
        <f>Sales_Data[[#This Row],[Sales Amount]] - Sales_Data[[#This Row],[Targets]]</f>
        <v>1036.7999999999993</v>
      </c>
    </row>
    <row r="177" spans="1:10">
      <c r="A177" s="5">
        <v>44348</v>
      </c>
      <c r="B177" s="4" t="s">
        <v>77</v>
      </c>
      <c r="C177" s="4" t="s">
        <v>78</v>
      </c>
      <c r="D177" s="4" t="s">
        <v>79</v>
      </c>
      <c r="E177" s="4" t="s">
        <v>2</v>
      </c>
      <c r="F177" s="6">
        <v>16846.8</v>
      </c>
      <c r="G177" s="4" t="s">
        <v>22</v>
      </c>
      <c r="H177" s="9">
        <v>15000</v>
      </c>
      <c r="I177" s="8" cm="1">
        <f t="array" ref="I177">IF(F177 &gt;= H177,F177 * commission, 0)</f>
        <v>1684.68</v>
      </c>
      <c r="J177" s="13">
        <f>Sales_Data[[#This Row],[Sales Amount]] - Sales_Data[[#This Row],[Targets]]</f>
        <v>1846.7999999999993</v>
      </c>
    </row>
    <row r="178" spans="1:10">
      <c r="A178" s="5">
        <v>44348</v>
      </c>
      <c r="B178" s="4" t="s">
        <v>50</v>
      </c>
      <c r="C178" s="4" t="s">
        <v>51</v>
      </c>
      <c r="D178" s="4" t="s">
        <v>52</v>
      </c>
      <c r="E178" s="4" t="s">
        <v>3</v>
      </c>
      <c r="F178" s="6">
        <v>6872.7999999999993</v>
      </c>
      <c r="G178" s="4" t="s">
        <v>27</v>
      </c>
      <c r="H178" s="9">
        <v>15000</v>
      </c>
      <c r="I178" s="8" cm="1">
        <f t="array" ref="I178">IF(F178 &gt;= H178,F178 * commission, 0)</f>
        <v>0</v>
      </c>
      <c r="J178" s="13">
        <f>Sales_Data[[#This Row],[Sales Amount]] - Sales_Data[[#This Row],[Targets]]</f>
        <v>-8127.2000000000007</v>
      </c>
    </row>
    <row r="179" spans="1:10">
      <c r="A179" s="5">
        <v>44348</v>
      </c>
      <c r="B179" s="4" t="s">
        <v>47</v>
      </c>
      <c r="C179" s="4" t="s">
        <v>48</v>
      </c>
      <c r="D179" s="4" t="s">
        <v>49</v>
      </c>
      <c r="E179" s="4" t="s">
        <v>3</v>
      </c>
      <c r="F179" s="6">
        <v>8827</v>
      </c>
      <c r="G179" s="4" t="s">
        <v>28</v>
      </c>
      <c r="H179" s="9">
        <v>15000</v>
      </c>
      <c r="I179" s="8" cm="1">
        <f t="array" ref="I179">IF(F179 &gt;= H179,F179 * commission, 0)</f>
        <v>0</v>
      </c>
      <c r="J179" s="13">
        <f>Sales_Data[[#This Row],[Sales Amount]] - Sales_Data[[#This Row],[Targets]]</f>
        <v>-6173</v>
      </c>
    </row>
    <row r="180" spans="1:10">
      <c r="A180" s="5">
        <v>44348</v>
      </c>
      <c r="B180" s="4" t="s">
        <v>71</v>
      </c>
      <c r="C180" s="4" t="s">
        <v>72</v>
      </c>
      <c r="D180" s="4" t="s">
        <v>73</v>
      </c>
      <c r="E180" s="4" t="s">
        <v>3</v>
      </c>
      <c r="F180" s="6">
        <v>9836.8000000000011</v>
      </c>
      <c r="G180" s="4" t="s">
        <v>27</v>
      </c>
      <c r="H180" s="9">
        <v>15000</v>
      </c>
      <c r="I180" s="8" cm="1">
        <f t="array" ref="I180">IF(F180 &gt;= H180,F180 * commission, 0)</f>
        <v>0</v>
      </c>
      <c r="J180" s="13">
        <f>Sales_Data[[#This Row],[Sales Amount]] - Sales_Data[[#This Row],[Targets]]</f>
        <v>-5163.1999999999989</v>
      </c>
    </row>
    <row r="181" spans="1:10">
      <c r="A181" s="5">
        <v>44348</v>
      </c>
      <c r="B181" s="4" t="s">
        <v>47</v>
      </c>
      <c r="C181" s="4" t="s">
        <v>48</v>
      </c>
      <c r="D181" s="4" t="s">
        <v>49</v>
      </c>
      <c r="E181" s="4" t="s">
        <v>3</v>
      </c>
      <c r="F181" s="6">
        <v>10032</v>
      </c>
      <c r="G181" s="4" t="s">
        <v>27</v>
      </c>
      <c r="H181" s="9">
        <v>15000</v>
      </c>
      <c r="I181" s="8" cm="1">
        <f t="array" ref="I181">IF(F181 &gt;= H181,F181 * commission, 0)</f>
        <v>0</v>
      </c>
      <c r="J181" s="13">
        <f>Sales_Data[[#This Row],[Sales Amount]] - Sales_Data[[#This Row],[Targets]]</f>
        <v>-4968</v>
      </c>
    </row>
    <row r="182" spans="1:10">
      <c r="A182" s="5">
        <v>44348</v>
      </c>
      <c r="B182" s="4" t="s">
        <v>47</v>
      </c>
      <c r="C182" s="4" t="s">
        <v>48</v>
      </c>
      <c r="D182" s="4" t="s">
        <v>49</v>
      </c>
      <c r="E182" s="4" t="s">
        <v>3</v>
      </c>
      <c r="F182" s="6">
        <v>15953.599999999999</v>
      </c>
      <c r="G182" s="4" t="s">
        <v>22</v>
      </c>
      <c r="H182" s="9">
        <v>15000</v>
      </c>
      <c r="I182" s="8" cm="1">
        <f t="array" ref="I182">IF(F182 &gt;= H182,F182 * commission, 0)</f>
        <v>1595.36</v>
      </c>
      <c r="J182" s="13">
        <f>Sales_Data[[#This Row],[Sales Amount]] - Sales_Data[[#This Row],[Targets]]</f>
        <v>953.59999999999854</v>
      </c>
    </row>
    <row r="183" spans="1:10">
      <c r="A183" s="5">
        <v>44348</v>
      </c>
      <c r="B183" s="4" t="s">
        <v>50</v>
      </c>
      <c r="C183" s="4" t="s">
        <v>51</v>
      </c>
      <c r="D183" s="4" t="s">
        <v>52</v>
      </c>
      <c r="E183" s="4" t="s">
        <v>3</v>
      </c>
      <c r="F183" s="6">
        <v>25560</v>
      </c>
      <c r="G183" s="4" t="s">
        <v>27</v>
      </c>
      <c r="H183" s="9">
        <v>15000</v>
      </c>
      <c r="I183" s="8" cm="1">
        <f t="array" ref="I183">IF(F183 &gt;= H183,F183 * commission, 0)</f>
        <v>2556</v>
      </c>
      <c r="J183" s="13">
        <f>Sales_Data[[#This Row],[Sales Amount]] - Sales_Data[[#This Row],[Targets]]</f>
        <v>10560</v>
      </c>
    </row>
    <row r="184" spans="1:10">
      <c r="A184" s="5">
        <v>44348</v>
      </c>
      <c r="B184" s="4" t="s">
        <v>47</v>
      </c>
      <c r="C184" s="4" t="s">
        <v>48</v>
      </c>
      <c r="D184" s="4" t="s">
        <v>49</v>
      </c>
      <c r="E184" s="4" t="s">
        <v>3</v>
      </c>
      <c r="F184" s="6">
        <v>35695</v>
      </c>
      <c r="G184" s="4" t="s">
        <v>22</v>
      </c>
      <c r="H184" s="9">
        <v>15000</v>
      </c>
      <c r="I184" s="8" cm="1">
        <f t="array" ref="I184">IF(F184 &gt;= H184,F184 * commission, 0)</f>
        <v>3569.5</v>
      </c>
      <c r="J184" s="13">
        <f>Sales_Data[[#This Row],[Sales Amount]] - Sales_Data[[#This Row],[Targets]]</f>
        <v>20695</v>
      </c>
    </row>
    <row r="185" spans="1:10">
      <c r="A185" s="5">
        <v>44348</v>
      </c>
      <c r="B185" s="4" t="s">
        <v>56</v>
      </c>
      <c r="C185" s="4" t="s">
        <v>57</v>
      </c>
      <c r="D185" s="4" t="s">
        <v>58</v>
      </c>
      <c r="E185" s="4" t="s">
        <v>5</v>
      </c>
      <c r="F185" s="6">
        <v>9574.7999999999993</v>
      </c>
      <c r="G185" s="4" t="s">
        <v>22</v>
      </c>
      <c r="H185" s="9">
        <v>15000</v>
      </c>
      <c r="I185" s="8" cm="1">
        <f t="array" ref="I185">IF(F185 &gt;= H185,F185 * commission, 0)</f>
        <v>0</v>
      </c>
      <c r="J185" s="13">
        <f>Sales_Data[[#This Row],[Sales Amount]] - Sales_Data[[#This Row],[Targets]]</f>
        <v>-5425.2000000000007</v>
      </c>
    </row>
    <row r="186" spans="1:10">
      <c r="A186" s="5">
        <v>44348</v>
      </c>
      <c r="B186" s="4" t="s">
        <v>56</v>
      </c>
      <c r="C186" s="4" t="s">
        <v>57</v>
      </c>
      <c r="D186" s="4" t="s">
        <v>58</v>
      </c>
      <c r="E186" s="4" t="s">
        <v>5</v>
      </c>
      <c r="F186" s="6">
        <v>14301.6</v>
      </c>
      <c r="G186" s="4" t="s">
        <v>22</v>
      </c>
      <c r="H186" s="9">
        <v>15000</v>
      </c>
      <c r="I186" s="8" cm="1">
        <f t="array" ref="I186">IF(F186 &gt;= H186,F186 * commission, 0)</f>
        <v>0</v>
      </c>
      <c r="J186" s="13">
        <f>Sales_Data[[#This Row],[Sales Amount]] - Sales_Data[[#This Row],[Targets]]</f>
        <v>-698.39999999999964</v>
      </c>
    </row>
    <row r="187" spans="1:10">
      <c r="A187" s="5">
        <v>44348</v>
      </c>
      <c r="B187" s="4" t="s">
        <v>74</v>
      </c>
      <c r="C187" s="4" t="s">
        <v>75</v>
      </c>
      <c r="D187" s="4" t="s">
        <v>76</v>
      </c>
      <c r="E187" s="4" t="s">
        <v>5</v>
      </c>
      <c r="F187" s="6">
        <v>15061.2</v>
      </c>
      <c r="G187" s="4" t="s">
        <v>22</v>
      </c>
      <c r="H187" s="9">
        <v>15000</v>
      </c>
      <c r="I187" s="8" cm="1">
        <f t="array" ref="I187">IF(F187 &gt;= H187,F187 * commission, 0)</f>
        <v>1506.1200000000001</v>
      </c>
      <c r="J187" s="13">
        <f>Sales_Data[[#This Row],[Sales Amount]] - Sales_Data[[#This Row],[Targets]]</f>
        <v>61.200000000000728</v>
      </c>
    </row>
    <row r="188" spans="1:10">
      <c r="A188" s="5">
        <v>44348</v>
      </c>
      <c r="B188" s="4" t="s">
        <v>59</v>
      </c>
      <c r="C188" s="4" t="s">
        <v>60</v>
      </c>
      <c r="D188" s="4" t="s">
        <v>61</v>
      </c>
      <c r="E188" s="4" t="s">
        <v>5</v>
      </c>
      <c r="F188" s="6">
        <v>17262</v>
      </c>
      <c r="G188" s="4" t="s">
        <v>22</v>
      </c>
      <c r="H188" s="9">
        <v>15000</v>
      </c>
      <c r="I188" s="8" cm="1">
        <f t="array" ref="I188">IF(F188 &gt;= H188,F188 * commission, 0)</f>
        <v>1726.2</v>
      </c>
      <c r="J188" s="13">
        <f>Sales_Data[[#This Row],[Sales Amount]] - Sales_Data[[#This Row],[Targets]]</f>
        <v>2262</v>
      </c>
    </row>
    <row r="189" spans="1:10">
      <c r="A189" s="5">
        <v>44348</v>
      </c>
      <c r="B189" s="4" t="s">
        <v>62</v>
      </c>
      <c r="C189" s="4" t="s">
        <v>63</v>
      </c>
      <c r="D189" s="4" t="s">
        <v>64</v>
      </c>
      <c r="E189" s="4" t="s">
        <v>5</v>
      </c>
      <c r="F189" s="6">
        <v>37192.5</v>
      </c>
      <c r="G189" s="4" t="s">
        <v>28</v>
      </c>
      <c r="H189" s="9">
        <v>15000</v>
      </c>
      <c r="I189" s="8" cm="1">
        <f t="array" ref="I189">IF(F189 &gt;= H189,F189 * commission, 0)</f>
        <v>3719.25</v>
      </c>
      <c r="J189" s="13">
        <f>Sales_Data[[#This Row],[Sales Amount]] - Sales_Data[[#This Row],[Targets]]</f>
        <v>22192.5</v>
      </c>
    </row>
    <row r="190" spans="1:10">
      <c r="A190" s="5">
        <v>44348</v>
      </c>
      <c r="B190" s="4" t="s">
        <v>74</v>
      </c>
      <c r="C190" s="4" t="s">
        <v>75</v>
      </c>
      <c r="D190" s="4" t="s">
        <v>76</v>
      </c>
      <c r="E190" s="4" t="s">
        <v>5</v>
      </c>
      <c r="F190" s="6">
        <v>39653.9</v>
      </c>
      <c r="G190" s="4" t="s">
        <v>28</v>
      </c>
      <c r="H190" s="9">
        <v>15000</v>
      </c>
      <c r="I190" s="8" cm="1">
        <f t="array" ref="I190">IF(F190 &gt;= H190,F190 * commission, 0)</f>
        <v>3965.3900000000003</v>
      </c>
      <c r="J190" s="13">
        <f>Sales_Data[[#This Row],[Sales Amount]] - Sales_Data[[#This Row],[Targets]]</f>
        <v>24653.9</v>
      </c>
    </row>
    <row r="191" spans="1:10">
      <c r="A191" s="5">
        <v>44378</v>
      </c>
      <c r="B191" s="4" t="s">
        <v>19</v>
      </c>
      <c r="C191" s="4" t="s">
        <v>20</v>
      </c>
      <c r="D191" s="4" t="s">
        <v>21</v>
      </c>
      <c r="E191" s="4" t="s">
        <v>4</v>
      </c>
      <c r="F191" s="6">
        <v>3055.2</v>
      </c>
      <c r="G191" s="4" t="s">
        <v>27</v>
      </c>
      <c r="H191" s="9">
        <v>15000</v>
      </c>
      <c r="I191" s="8" cm="1">
        <f t="array" ref="I191">IF(F191 &gt;= H191,F191 * commission, 0)</f>
        <v>0</v>
      </c>
      <c r="J191" s="13">
        <f>Sales_Data[[#This Row],[Sales Amount]] - Sales_Data[[#This Row],[Targets]]</f>
        <v>-11944.8</v>
      </c>
    </row>
    <row r="192" spans="1:10">
      <c r="A192" s="5">
        <v>44378</v>
      </c>
      <c r="B192" s="4" t="s">
        <v>29</v>
      </c>
      <c r="C192" s="4" t="s">
        <v>30</v>
      </c>
      <c r="D192" s="4" t="s">
        <v>31</v>
      </c>
      <c r="E192" s="4" t="s">
        <v>4</v>
      </c>
      <c r="F192" s="6">
        <v>4843.4000000000005</v>
      </c>
      <c r="G192" s="4" t="s">
        <v>28</v>
      </c>
      <c r="H192" s="9">
        <v>15000</v>
      </c>
      <c r="I192" s="8" cm="1">
        <f t="array" ref="I192">IF(F192 &gt;= H192,F192 * commission, 0)</f>
        <v>0</v>
      </c>
      <c r="J192" s="13">
        <f>Sales_Data[[#This Row],[Sales Amount]] - Sales_Data[[#This Row],[Targets]]</f>
        <v>-10156.599999999999</v>
      </c>
    </row>
    <row r="193" spans="1:10">
      <c r="A193" s="5">
        <v>44378</v>
      </c>
      <c r="B193" s="4" t="s">
        <v>32</v>
      </c>
      <c r="C193" s="4" t="s">
        <v>33</v>
      </c>
      <c r="D193" s="4" t="s">
        <v>34</v>
      </c>
      <c r="E193" s="4" t="s">
        <v>4</v>
      </c>
      <c r="F193" s="6">
        <v>5215.2</v>
      </c>
      <c r="G193" s="4" t="s">
        <v>28</v>
      </c>
      <c r="H193" s="9">
        <v>15000</v>
      </c>
      <c r="I193" s="8" cm="1">
        <f t="array" ref="I193">IF(F193 &gt;= H193,F193 * commission, 0)</f>
        <v>0</v>
      </c>
      <c r="J193" s="13">
        <f>Sales_Data[[#This Row],[Sales Amount]] - Sales_Data[[#This Row],[Targets]]</f>
        <v>-9784.7999999999993</v>
      </c>
    </row>
    <row r="194" spans="1:10">
      <c r="A194" s="5">
        <v>44378</v>
      </c>
      <c r="B194" s="4" t="s">
        <v>19</v>
      </c>
      <c r="C194" s="4" t="s">
        <v>20</v>
      </c>
      <c r="D194" s="4" t="s">
        <v>21</v>
      </c>
      <c r="E194" s="4" t="s">
        <v>4</v>
      </c>
      <c r="F194" s="6">
        <v>7199.7000000000007</v>
      </c>
      <c r="G194" s="4" t="s">
        <v>28</v>
      </c>
      <c r="H194" s="9">
        <v>15000</v>
      </c>
      <c r="I194" s="8" cm="1">
        <f t="array" ref="I194">IF(F194 &gt;= H194,F194 * commission, 0)</f>
        <v>0</v>
      </c>
      <c r="J194" s="13">
        <f>Sales_Data[[#This Row],[Sales Amount]] - Sales_Data[[#This Row],[Targets]]</f>
        <v>-7800.2999999999993</v>
      </c>
    </row>
    <row r="195" spans="1:10">
      <c r="A195" s="5">
        <v>44378</v>
      </c>
      <c r="B195" s="4" t="s">
        <v>24</v>
      </c>
      <c r="C195" s="4" t="s">
        <v>25</v>
      </c>
      <c r="D195" s="4" t="s">
        <v>26</v>
      </c>
      <c r="E195" s="4" t="s">
        <v>4</v>
      </c>
      <c r="F195" s="6">
        <v>14670</v>
      </c>
      <c r="G195" s="4" t="s">
        <v>27</v>
      </c>
      <c r="H195" s="9">
        <v>15000</v>
      </c>
      <c r="I195" s="8" cm="1">
        <f t="array" ref="I195">IF(F195 &gt;= H195,F195 * commission, 0)</f>
        <v>0</v>
      </c>
      <c r="J195" s="13">
        <f>Sales_Data[[#This Row],[Sales Amount]] - Sales_Data[[#This Row],[Targets]]</f>
        <v>-330</v>
      </c>
    </row>
    <row r="196" spans="1:10">
      <c r="A196" s="5">
        <v>44378</v>
      </c>
      <c r="B196" s="4" t="s">
        <v>29</v>
      </c>
      <c r="C196" s="4" t="s">
        <v>30</v>
      </c>
      <c r="D196" s="4" t="s">
        <v>31</v>
      </c>
      <c r="E196" s="4" t="s">
        <v>4</v>
      </c>
      <c r="F196" s="6">
        <v>16614.400000000001</v>
      </c>
      <c r="G196" s="4" t="s">
        <v>27</v>
      </c>
      <c r="H196" s="9">
        <v>15000</v>
      </c>
      <c r="I196" s="8" cm="1">
        <f t="array" ref="I196">IF(F196 &gt;= H196,F196 * commission, 0)</f>
        <v>1661.4400000000003</v>
      </c>
      <c r="J196" s="13">
        <f>Sales_Data[[#This Row],[Sales Amount]] - Sales_Data[[#This Row],[Targets]]</f>
        <v>1614.4000000000015</v>
      </c>
    </row>
    <row r="197" spans="1:10">
      <c r="A197" s="5">
        <v>44378</v>
      </c>
      <c r="B197" s="4" t="s">
        <v>24</v>
      </c>
      <c r="C197" s="4" t="s">
        <v>25</v>
      </c>
      <c r="D197" s="4" t="s">
        <v>26</v>
      </c>
      <c r="E197" s="4" t="s">
        <v>4</v>
      </c>
      <c r="F197" s="6">
        <v>20076.7</v>
      </c>
      <c r="G197" s="4" t="s">
        <v>28</v>
      </c>
      <c r="H197" s="9">
        <v>15000</v>
      </c>
      <c r="I197" s="8" cm="1">
        <f t="array" ref="I197">IF(F197 &gt;= H197,F197 * commission, 0)</f>
        <v>2007.67</v>
      </c>
      <c r="J197" s="13">
        <f>Sales_Data[[#This Row],[Sales Amount]] - Sales_Data[[#This Row],[Targets]]</f>
        <v>5076.7000000000007</v>
      </c>
    </row>
    <row r="198" spans="1:10">
      <c r="A198" s="5">
        <v>44378</v>
      </c>
      <c r="B198" s="4" t="s">
        <v>19</v>
      </c>
      <c r="C198" s="4" t="s">
        <v>20</v>
      </c>
      <c r="D198" s="4" t="s">
        <v>21</v>
      </c>
      <c r="E198" s="4" t="s">
        <v>4</v>
      </c>
      <c r="F198" s="6">
        <v>21482.999999999996</v>
      </c>
      <c r="G198" s="4" t="s">
        <v>28</v>
      </c>
      <c r="H198" s="9">
        <v>15000</v>
      </c>
      <c r="I198" s="8" cm="1">
        <f t="array" ref="I198">IF(F198 &gt;= H198,F198 * commission, 0)</f>
        <v>2148.2999999999997</v>
      </c>
      <c r="J198" s="13">
        <f>Sales_Data[[#This Row],[Sales Amount]] - Sales_Data[[#This Row],[Targets]]</f>
        <v>6482.9999999999964</v>
      </c>
    </row>
    <row r="199" spans="1:10">
      <c r="A199" s="5">
        <v>44378</v>
      </c>
      <c r="B199" s="4" t="s">
        <v>65</v>
      </c>
      <c r="C199" s="4" t="s">
        <v>66</v>
      </c>
      <c r="D199" s="4" t="s">
        <v>67</v>
      </c>
      <c r="E199" s="4" t="s">
        <v>4</v>
      </c>
      <c r="F199" s="6">
        <v>30776.799999999999</v>
      </c>
      <c r="G199" s="4" t="s">
        <v>27</v>
      </c>
      <c r="H199" s="9">
        <v>15000</v>
      </c>
      <c r="I199" s="8" cm="1">
        <f t="array" ref="I199">IF(F199 &gt;= H199,F199 * commission, 0)</f>
        <v>3077.6800000000003</v>
      </c>
      <c r="J199" s="13">
        <f>Sales_Data[[#This Row],[Sales Amount]] - Sales_Data[[#This Row],[Targets]]</f>
        <v>15776.8</v>
      </c>
    </row>
    <row r="200" spans="1:10">
      <c r="A200" s="5">
        <v>44378</v>
      </c>
      <c r="B200" s="4" t="s">
        <v>38</v>
      </c>
      <c r="C200" s="4" t="s">
        <v>39</v>
      </c>
      <c r="D200" s="4" t="s">
        <v>40</v>
      </c>
      <c r="E200" s="4" t="s">
        <v>2</v>
      </c>
      <c r="F200" s="6">
        <v>15957.2</v>
      </c>
      <c r="G200" s="4" t="s">
        <v>28</v>
      </c>
      <c r="H200" s="9">
        <v>15000</v>
      </c>
      <c r="I200" s="8" cm="1">
        <f t="array" ref="I200">IF(F200 &gt;= H200,F200 * commission, 0)</f>
        <v>1595.7200000000003</v>
      </c>
      <c r="J200" s="13">
        <f>Sales_Data[[#This Row],[Sales Amount]] - Sales_Data[[#This Row],[Targets]]</f>
        <v>957.20000000000073</v>
      </c>
    </row>
    <row r="201" spans="1:10">
      <c r="A201" s="5">
        <v>44378</v>
      </c>
      <c r="B201" s="4" t="s">
        <v>68</v>
      </c>
      <c r="C201" s="4" t="s">
        <v>69</v>
      </c>
      <c r="D201" s="4" t="s">
        <v>70</v>
      </c>
      <c r="E201" s="4" t="s">
        <v>2</v>
      </c>
      <c r="F201" s="6">
        <v>16492</v>
      </c>
      <c r="G201" s="4" t="s">
        <v>27</v>
      </c>
      <c r="H201" s="9">
        <v>15000</v>
      </c>
      <c r="I201" s="8" cm="1">
        <f t="array" ref="I201">IF(F201 &gt;= H201,F201 * commission, 0)</f>
        <v>1649.2</v>
      </c>
      <c r="J201" s="13">
        <f>Sales_Data[[#This Row],[Sales Amount]] - Sales_Data[[#This Row],[Targets]]</f>
        <v>1492</v>
      </c>
    </row>
    <row r="202" spans="1:10">
      <c r="A202" s="5">
        <v>44378</v>
      </c>
      <c r="B202" s="4" t="s">
        <v>77</v>
      </c>
      <c r="C202" s="4" t="s">
        <v>78</v>
      </c>
      <c r="D202" s="4" t="s">
        <v>79</v>
      </c>
      <c r="E202" s="4" t="s">
        <v>2</v>
      </c>
      <c r="F202" s="6">
        <v>21295.4</v>
      </c>
      <c r="G202" s="4" t="s">
        <v>27</v>
      </c>
      <c r="H202" s="9">
        <v>15000</v>
      </c>
      <c r="I202" s="8" cm="1">
        <f t="array" ref="I202">IF(F202 &gt;= H202,F202 * commission, 0)</f>
        <v>2129.5400000000004</v>
      </c>
      <c r="J202" s="13">
        <f>Sales_Data[[#This Row],[Sales Amount]] - Sales_Data[[#This Row],[Targets]]</f>
        <v>6295.4000000000015</v>
      </c>
    </row>
    <row r="203" spans="1:10">
      <c r="A203" s="5">
        <v>44378</v>
      </c>
      <c r="B203" s="4" t="s">
        <v>35</v>
      </c>
      <c r="C203" s="4" t="s">
        <v>36</v>
      </c>
      <c r="D203" s="4" t="s">
        <v>37</v>
      </c>
      <c r="E203" s="4" t="s">
        <v>2</v>
      </c>
      <c r="F203" s="6">
        <v>25518.800000000003</v>
      </c>
      <c r="G203" s="4" t="s">
        <v>27</v>
      </c>
      <c r="H203" s="9">
        <v>15000</v>
      </c>
      <c r="I203" s="8" cm="1">
        <f t="array" ref="I203">IF(F203 &gt;= H203,F203 * commission, 0)</f>
        <v>2551.8800000000006</v>
      </c>
      <c r="J203" s="13">
        <f>Sales_Data[[#This Row],[Sales Amount]] - Sales_Data[[#This Row],[Targets]]</f>
        <v>10518.800000000003</v>
      </c>
    </row>
    <row r="204" spans="1:10">
      <c r="A204" s="5">
        <v>44378</v>
      </c>
      <c r="B204" s="4" t="s">
        <v>35</v>
      </c>
      <c r="C204" s="4" t="s">
        <v>36</v>
      </c>
      <c r="D204" s="4" t="s">
        <v>37</v>
      </c>
      <c r="E204" s="4" t="s">
        <v>2</v>
      </c>
      <c r="F204" s="6">
        <v>27676.6</v>
      </c>
      <c r="G204" s="4" t="s">
        <v>22</v>
      </c>
      <c r="H204" s="9">
        <v>15000</v>
      </c>
      <c r="I204" s="8" cm="1">
        <f t="array" ref="I204">IF(F204 &gt;= H204,F204 * commission, 0)</f>
        <v>2767.66</v>
      </c>
      <c r="J204" s="13">
        <f>Sales_Data[[#This Row],[Sales Amount]] - Sales_Data[[#This Row],[Targets]]</f>
        <v>12676.599999999999</v>
      </c>
    </row>
    <row r="205" spans="1:10">
      <c r="A205" s="5">
        <v>44378</v>
      </c>
      <c r="B205" s="4" t="s">
        <v>77</v>
      </c>
      <c r="C205" s="4" t="s">
        <v>78</v>
      </c>
      <c r="D205" s="4" t="s">
        <v>79</v>
      </c>
      <c r="E205" s="4" t="s">
        <v>2</v>
      </c>
      <c r="F205" s="6">
        <v>28395</v>
      </c>
      <c r="G205" s="4" t="s">
        <v>28</v>
      </c>
      <c r="H205" s="9">
        <v>15000</v>
      </c>
      <c r="I205" s="8" cm="1">
        <f t="array" ref="I205">IF(F205 &gt;= H205,F205 * commission, 0)</f>
        <v>2839.5</v>
      </c>
      <c r="J205" s="13">
        <f>Sales_Data[[#This Row],[Sales Amount]] - Sales_Data[[#This Row],[Targets]]</f>
        <v>13395</v>
      </c>
    </row>
    <row r="206" spans="1:10">
      <c r="A206" s="5">
        <v>44378</v>
      </c>
      <c r="B206" s="4" t="s">
        <v>68</v>
      </c>
      <c r="C206" s="4" t="s">
        <v>69</v>
      </c>
      <c r="D206" s="4" t="s">
        <v>70</v>
      </c>
      <c r="E206" s="4" t="s">
        <v>2</v>
      </c>
      <c r="F206" s="6">
        <v>41826.400000000001</v>
      </c>
      <c r="G206" s="4" t="s">
        <v>28</v>
      </c>
      <c r="H206" s="9">
        <v>15000</v>
      </c>
      <c r="I206" s="8" cm="1">
        <f t="array" ref="I206">IF(F206 &gt;= H206,F206 * commission, 0)</f>
        <v>4182.6400000000003</v>
      </c>
      <c r="J206" s="13">
        <f>Sales_Data[[#This Row],[Sales Amount]] - Sales_Data[[#This Row],[Targets]]</f>
        <v>26826.400000000001</v>
      </c>
    </row>
    <row r="207" spans="1:10">
      <c r="A207" s="5">
        <v>44378</v>
      </c>
      <c r="B207" s="4" t="s">
        <v>68</v>
      </c>
      <c r="C207" s="4" t="s">
        <v>69</v>
      </c>
      <c r="D207" s="4" t="s">
        <v>70</v>
      </c>
      <c r="E207" s="4" t="s">
        <v>2</v>
      </c>
      <c r="F207" s="6">
        <v>49055.999999999993</v>
      </c>
      <c r="G207" s="4" t="s">
        <v>27</v>
      </c>
      <c r="H207" s="9">
        <v>15000</v>
      </c>
      <c r="I207" s="8" cm="1">
        <f t="array" ref="I207">IF(F207 &gt;= H207,F207 * commission, 0)</f>
        <v>4905.5999999999995</v>
      </c>
      <c r="J207" s="13">
        <f>Sales_Data[[#This Row],[Sales Amount]] - Sales_Data[[#This Row],[Targets]]</f>
        <v>34055.999999999993</v>
      </c>
    </row>
    <row r="208" spans="1:10">
      <c r="A208" s="5">
        <v>44378</v>
      </c>
      <c r="B208" s="4" t="s">
        <v>71</v>
      </c>
      <c r="C208" s="4" t="s">
        <v>72</v>
      </c>
      <c r="D208" s="4" t="s">
        <v>73</v>
      </c>
      <c r="E208" s="4" t="s">
        <v>3</v>
      </c>
      <c r="F208" s="6">
        <v>9405.2999999999993</v>
      </c>
      <c r="G208" s="4" t="s">
        <v>22</v>
      </c>
      <c r="H208" s="9">
        <v>15000</v>
      </c>
      <c r="I208" s="8" cm="1">
        <f t="array" ref="I208">IF(F208 &gt;= H208,F208 * commission, 0)</f>
        <v>0</v>
      </c>
      <c r="J208" s="13">
        <f>Sales_Data[[#This Row],[Sales Amount]] - Sales_Data[[#This Row],[Targets]]</f>
        <v>-5594.7000000000007</v>
      </c>
    </row>
    <row r="209" spans="1:10">
      <c r="A209" s="5">
        <v>44378</v>
      </c>
      <c r="B209" s="4" t="s">
        <v>50</v>
      </c>
      <c r="C209" s="4" t="s">
        <v>51</v>
      </c>
      <c r="D209" s="4" t="s">
        <v>52</v>
      </c>
      <c r="E209" s="4" t="s">
        <v>3</v>
      </c>
      <c r="F209" s="6">
        <v>9704.1999999999989</v>
      </c>
      <c r="G209" s="4" t="s">
        <v>28</v>
      </c>
      <c r="H209" s="9">
        <v>15000</v>
      </c>
      <c r="I209" s="8" cm="1">
        <f t="array" ref="I209">IF(F209 &gt;= H209,F209 * commission, 0)</f>
        <v>0</v>
      </c>
      <c r="J209" s="13">
        <f>Sales_Data[[#This Row],[Sales Amount]] - Sales_Data[[#This Row],[Targets]]</f>
        <v>-5295.8000000000011</v>
      </c>
    </row>
    <row r="210" spans="1:10">
      <c r="A210" s="5">
        <v>44378</v>
      </c>
      <c r="B210" s="4" t="s">
        <v>71</v>
      </c>
      <c r="C210" s="4" t="s">
        <v>72</v>
      </c>
      <c r="D210" s="4" t="s">
        <v>73</v>
      </c>
      <c r="E210" s="4" t="s">
        <v>3</v>
      </c>
      <c r="F210" s="6">
        <v>13674</v>
      </c>
      <c r="G210" s="4" t="s">
        <v>22</v>
      </c>
      <c r="H210" s="9">
        <v>15000</v>
      </c>
      <c r="I210" s="8" cm="1">
        <f t="array" ref="I210">IF(F210 &gt;= H210,F210 * commission, 0)</f>
        <v>0</v>
      </c>
      <c r="J210" s="13">
        <f>Sales_Data[[#This Row],[Sales Amount]] - Sales_Data[[#This Row],[Targets]]</f>
        <v>-1326</v>
      </c>
    </row>
    <row r="211" spans="1:10">
      <c r="A211" s="5">
        <v>44378</v>
      </c>
      <c r="B211" s="4" t="s">
        <v>47</v>
      </c>
      <c r="C211" s="4" t="s">
        <v>48</v>
      </c>
      <c r="D211" s="4" t="s">
        <v>49</v>
      </c>
      <c r="E211" s="4" t="s">
        <v>3</v>
      </c>
      <c r="F211" s="6">
        <v>21120.400000000001</v>
      </c>
      <c r="G211" s="4" t="s">
        <v>22</v>
      </c>
      <c r="H211" s="9">
        <v>15000</v>
      </c>
      <c r="I211" s="8" cm="1">
        <f t="array" ref="I211">IF(F211 &gt;= H211,F211 * commission, 0)</f>
        <v>2112.0400000000004</v>
      </c>
      <c r="J211" s="13">
        <f>Sales_Data[[#This Row],[Sales Amount]] - Sales_Data[[#This Row],[Targets]]</f>
        <v>6120.4000000000015</v>
      </c>
    </row>
    <row r="212" spans="1:10">
      <c r="A212" s="5">
        <v>44378</v>
      </c>
      <c r="B212" s="4" t="s">
        <v>47</v>
      </c>
      <c r="C212" s="4" t="s">
        <v>48</v>
      </c>
      <c r="D212" s="4" t="s">
        <v>49</v>
      </c>
      <c r="E212" s="4" t="s">
        <v>3</v>
      </c>
      <c r="F212" s="6">
        <v>23997.600000000002</v>
      </c>
      <c r="G212" s="4" t="s">
        <v>27</v>
      </c>
      <c r="H212" s="9">
        <v>15000</v>
      </c>
      <c r="I212" s="8" cm="1">
        <f t="array" ref="I212">IF(F212 &gt;= H212,F212 * commission, 0)</f>
        <v>2399.7600000000002</v>
      </c>
      <c r="J212" s="13">
        <f>Sales_Data[[#This Row],[Sales Amount]] - Sales_Data[[#This Row],[Targets]]</f>
        <v>8997.6000000000022</v>
      </c>
    </row>
    <row r="213" spans="1:10">
      <c r="A213" s="5">
        <v>44378</v>
      </c>
      <c r="B213" s="4" t="s">
        <v>47</v>
      </c>
      <c r="C213" s="4" t="s">
        <v>48</v>
      </c>
      <c r="D213" s="4" t="s">
        <v>49</v>
      </c>
      <c r="E213" s="4" t="s">
        <v>3</v>
      </c>
      <c r="F213" s="6">
        <v>35715.4</v>
      </c>
      <c r="G213" s="4" t="s">
        <v>28</v>
      </c>
      <c r="H213" s="9">
        <v>15000</v>
      </c>
      <c r="I213" s="8" cm="1">
        <f t="array" ref="I213">IF(F213 &gt;= H213,F213 * commission, 0)</f>
        <v>3571.5400000000004</v>
      </c>
      <c r="J213" s="13">
        <f>Sales_Data[[#This Row],[Sales Amount]] - Sales_Data[[#This Row],[Targets]]</f>
        <v>20715.400000000001</v>
      </c>
    </row>
    <row r="214" spans="1:10">
      <c r="A214" s="5">
        <v>44378</v>
      </c>
      <c r="B214" s="4" t="s">
        <v>74</v>
      </c>
      <c r="C214" s="4" t="s">
        <v>75</v>
      </c>
      <c r="D214" s="4" t="s">
        <v>76</v>
      </c>
      <c r="E214" s="4" t="s">
        <v>5</v>
      </c>
      <c r="F214" s="6">
        <v>3465</v>
      </c>
      <c r="G214" s="4" t="s">
        <v>22</v>
      </c>
      <c r="H214" s="9">
        <v>15000</v>
      </c>
      <c r="I214" s="8" cm="1">
        <f t="array" ref="I214">IF(F214 &gt;= H214,F214 * commission, 0)</f>
        <v>0</v>
      </c>
      <c r="J214" s="13">
        <f>Sales_Data[[#This Row],[Sales Amount]] - Sales_Data[[#This Row],[Targets]]</f>
        <v>-11535</v>
      </c>
    </row>
    <row r="215" spans="1:10">
      <c r="A215" s="5">
        <v>44378</v>
      </c>
      <c r="B215" s="4" t="s">
        <v>59</v>
      </c>
      <c r="C215" s="4" t="s">
        <v>60</v>
      </c>
      <c r="D215" s="4" t="s">
        <v>61</v>
      </c>
      <c r="E215" s="4" t="s">
        <v>5</v>
      </c>
      <c r="F215" s="6">
        <v>5332.7999999999993</v>
      </c>
      <c r="G215" s="4" t="s">
        <v>22</v>
      </c>
      <c r="H215" s="9">
        <v>15000</v>
      </c>
      <c r="I215" s="8" cm="1">
        <f t="array" ref="I215">IF(F215 &gt;= H215,F215 * commission, 0)</f>
        <v>0</v>
      </c>
      <c r="J215" s="13">
        <f>Sales_Data[[#This Row],[Sales Amount]] - Sales_Data[[#This Row],[Targets]]</f>
        <v>-9667.2000000000007</v>
      </c>
    </row>
    <row r="216" spans="1:10">
      <c r="A216" s="5">
        <v>44378</v>
      </c>
      <c r="B216" s="4" t="s">
        <v>56</v>
      </c>
      <c r="C216" s="4" t="s">
        <v>57</v>
      </c>
      <c r="D216" s="4" t="s">
        <v>58</v>
      </c>
      <c r="E216" s="4" t="s">
        <v>5</v>
      </c>
      <c r="F216" s="6">
        <v>8065.5999999999995</v>
      </c>
      <c r="G216" s="4" t="s">
        <v>28</v>
      </c>
      <c r="H216" s="9">
        <v>15000</v>
      </c>
      <c r="I216" s="8" cm="1">
        <f t="array" ref="I216">IF(F216 &gt;= H216,F216 * commission, 0)</f>
        <v>0</v>
      </c>
      <c r="J216" s="13">
        <f>Sales_Data[[#This Row],[Sales Amount]] - Sales_Data[[#This Row],[Targets]]</f>
        <v>-6934.4000000000005</v>
      </c>
    </row>
    <row r="217" spans="1:10">
      <c r="A217" s="5">
        <v>44378</v>
      </c>
      <c r="B217" s="4" t="s">
        <v>56</v>
      </c>
      <c r="C217" s="4" t="s">
        <v>57</v>
      </c>
      <c r="D217" s="4" t="s">
        <v>58</v>
      </c>
      <c r="E217" s="4" t="s">
        <v>5</v>
      </c>
      <c r="F217" s="6">
        <v>10067.200000000001</v>
      </c>
      <c r="G217" s="4" t="s">
        <v>28</v>
      </c>
      <c r="H217" s="9">
        <v>15000</v>
      </c>
      <c r="I217" s="8" cm="1">
        <f t="array" ref="I217">IF(F217 &gt;= H217,F217 * commission, 0)</f>
        <v>0</v>
      </c>
      <c r="J217" s="13">
        <f>Sales_Data[[#This Row],[Sales Amount]] - Sales_Data[[#This Row],[Targets]]</f>
        <v>-4932.7999999999993</v>
      </c>
    </row>
    <row r="218" spans="1:10">
      <c r="A218" s="5">
        <v>44378</v>
      </c>
      <c r="B218" s="4" t="s">
        <v>56</v>
      </c>
      <c r="C218" s="4" t="s">
        <v>57</v>
      </c>
      <c r="D218" s="4" t="s">
        <v>58</v>
      </c>
      <c r="E218" s="4" t="s">
        <v>5</v>
      </c>
      <c r="F218" s="6">
        <v>10648.999999999998</v>
      </c>
      <c r="G218" s="4" t="s">
        <v>28</v>
      </c>
      <c r="H218" s="9">
        <v>15000</v>
      </c>
      <c r="I218" s="8" cm="1">
        <f t="array" ref="I218">IF(F218 &gt;= H218,F218 * commission, 0)</f>
        <v>0</v>
      </c>
      <c r="J218" s="13">
        <f>Sales_Data[[#This Row],[Sales Amount]] - Sales_Data[[#This Row],[Targets]]</f>
        <v>-4351.0000000000018</v>
      </c>
    </row>
    <row r="219" spans="1:10">
      <c r="A219" s="5">
        <v>44378</v>
      </c>
      <c r="B219" s="4" t="s">
        <v>59</v>
      </c>
      <c r="C219" s="4" t="s">
        <v>60</v>
      </c>
      <c r="D219" s="4" t="s">
        <v>61</v>
      </c>
      <c r="E219" s="4" t="s">
        <v>5</v>
      </c>
      <c r="F219" s="6">
        <v>10679.400000000001</v>
      </c>
      <c r="G219" s="4" t="s">
        <v>28</v>
      </c>
      <c r="H219" s="9">
        <v>15000</v>
      </c>
      <c r="I219" s="8" cm="1">
        <f t="array" ref="I219">IF(F219 &gt;= H219,F219 * commission, 0)</f>
        <v>0</v>
      </c>
      <c r="J219" s="13">
        <f>Sales_Data[[#This Row],[Sales Amount]] - Sales_Data[[#This Row],[Targets]]</f>
        <v>-4320.5999999999985</v>
      </c>
    </row>
    <row r="220" spans="1:10">
      <c r="A220" s="5">
        <v>44378</v>
      </c>
      <c r="B220" s="4" t="s">
        <v>62</v>
      </c>
      <c r="C220" s="4" t="s">
        <v>63</v>
      </c>
      <c r="D220" s="4" t="s">
        <v>64</v>
      </c>
      <c r="E220" s="4" t="s">
        <v>5</v>
      </c>
      <c r="F220" s="6">
        <v>11155.5</v>
      </c>
      <c r="G220" s="4" t="s">
        <v>27</v>
      </c>
      <c r="H220" s="9">
        <v>15000</v>
      </c>
      <c r="I220" s="8" cm="1">
        <f t="array" ref="I220">IF(F220 &gt;= H220,F220 * commission, 0)</f>
        <v>0</v>
      </c>
      <c r="J220" s="13">
        <f>Sales_Data[[#This Row],[Sales Amount]] - Sales_Data[[#This Row],[Targets]]</f>
        <v>-3844.5</v>
      </c>
    </row>
    <row r="221" spans="1:10">
      <c r="A221" s="5">
        <v>44378</v>
      </c>
      <c r="B221" s="4" t="s">
        <v>56</v>
      </c>
      <c r="C221" s="4" t="s">
        <v>57</v>
      </c>
      <c r="D221" s="4" t="s">
        <v>58</v>
      </c>
      <c r="E221" s="4" t="s">
        <v>5</v>
      </c>
      <c r="F221" s="6">
        <v>11543</v>
      </c>
      <c r="G221" s="4" t="s">
        <v>27</v>
      </c>
      <c r="H221" s="9">
        <v>15000</v>
      </c>
      <c r="I221" s="8" cm="1">
        <f t="array" ref="I221">IF(F221 &gt;= H221,F221 * commission, 0)</f>
        <v>0</v>
      </c>
      <c r="J221" s="13">
        <f>Sales_Data[[#This Row],[Sales Amount]] - Sales_Data[[#This Row],[Targets]]</f>
        <v>-3457</v>
      </c>
    </row>
    <row r="222" spans="1:10">
      <c r="A222" s="5">
        <v>44378</v>
      </c>
      <c r="B222" s="4" t="s">
        <v>56</v>
      </c>
      <c r="C222" s="4" t="s">
        <v>57</v>
      </c>
      <c r="D222" s="4" t="s">
        <v>58</v>
      </c>
      <c r="E222" s="4" t="s">
        <v>5</v>
      </c>
      <c r="F222" s="6">
        <v>15633.199999999999</v>
      </c>
      <c r="G222" s="4" t="s">
        <v>22</v>
      </c>
      <c r="H222" s="9">
        <v>15000</v>
      </c>
      <c r="I222" s="8" cm="1">
        <f t="array" ref="I222">IF(F222 &gt;= H222,F222 * commission, 0)</f>
        <v>1563.32</v>
      </c>
      <c r="J222" s="13">
        <f>Sales_Data[[#This Row],[Sales Amount]] - Sales_Data[[#This Row],[Targets]]</f>
        <v>633.19999999999891</v>
      </c>
    </row>
    <row r="223" spans="1:10">
      <c r="A223" s="5">
        <v>44378</v>
      </c>
      <c r="B223" s="4" t="s">
        <v>56</v>
      </c>
      <c r="C223" s="4" t="s">
        <v>57</v>
      </c>
      <c r="D223" s="4" t="s">
        <v>58</v>
      </c>
      <c r="E223" s="4" t="s">
        <v>5</v>
      </c>
      <c r="F223" s="6">
        <v>20868.399999999998</v>
      </c>
      <c r="G223" s="4" t="s">
        <v>22</v>
      </c>
      <c r="H223" s="9">
        <v>15000</v>
      </c>
      <c r="I223" s="8" cm="1">
        <f t="array" ref="I223">IF(F223 &gt;= H223,F223 * commission, 0)</f>
        <v>2086.8399999999997</v>
      </c>
      <c r="J223" s="13">
        <f>Sales_Data[[#This Row],[Sales Amount]] - Sales_Data[[#This Row],[Targets]]</f>
        <v>5868.3999999999978</v>
      </c>
    </row>
    <row r="224" spans="1:10">
      <c r="A224" s="5">
        <v>44378</v>
      </c>
      <c r="B224" s="4" t="s">
        <v>56</v>
      </c>
      <c r="C224" s="4" t="s">
        <v>57</v>
      </c>
      <c r="D224" s="4" t="s">
        <v>58</v>
      </c>
      <c r="E224" s="4" t="s">
        <v>5</v>
      </c>
      <c r="F224" s="6">
        <v>24395.100000000002</v>
      </c>
      <c r="G224" s="4" t="s">
        <v>27</v>
      </c>
      <c r="H224" s="9">
        <v>15000</v>
      </c>
      <c r="I224" s="8" cm="1">
        <f t="array" ref="I224">IF(F224 &gt;= H224,F224 * commission, 0)</f>
        <v>2439.5100000000002</v>
      </c>
      <c r="J224" s="13">
        <f>Sales_Data[[#This Row],[Sales Amount]] - Sales_Data[[#This Row],[Targets]]</f>
        <v>9395.1000000000022</v>
      </c>
    </row>
    <row r="225" spans="1:10">
      <c r="A225" s="5">
        <v>44409</v>
      </c>
      <c r="B225" s="4" t="s">
        <v>24</v>
      </c>
      <c r="C225" s="4" t="s">
        <v>25</v>
      </c>
      <c r="D225" s="4" t="s">
        <v>26</v>
      </c>
      <c r="E225" s="4" t="s">
        <v>4</v>
      </c>
      <c r="F225" s="6">
        <v>8625</v>
      </c>
      <c r="G225" s="4" t="s">
        <v>22</v>
      </c>
      <c r="H225" s="9">
        <v>15000</v>
      </c>
      <c r="I225" s="8" cm="1">
        <f t="array" ref="I225">IF(F225 &gt;= H225,F225 * commission, 0)</f>
        <v>0</v>
      </c>
      <c r="J225" s="13">
        <f>Sales_Data[[#This Row],[Sales Amount]] - Sales_Data[[#This Row],[Targets]]</f>
        <v>-6375</v>
      </c>
    </row>
    <row r="226" spans="1:10">
      <c r="A226" s="5">
        <v>44409</v>
      </c>
      <c r="B226" s="4" t="s">
        <v>19</v>
      </c>
      <c r="C226" s="4" t="s">
        <v>20</v>
      </c>
      <c r="D226" s="4" t="s">
        <v>21</v>
      </c>
      <c r="E226" s="4" t="s">
        <v>4</v>
      </c>
      <c r="F226" s="6">
        <v>9794</v>
      </c>
      <c r="G226" s="4" t="s">
        <v>22</v>
      </c>
      <c r="H226" s="9">
        <v>15000</v>
      </c>
      <c r="I226" s="8" cm="1">
        <f t="array" ref="I226">IF(F226 &gt;= H226,F226 * commission, 0)</f>
        <v>0</v>
      </c>
      <c r="J226" s="13">
        <f>Sales_Data[[#This Row],[Sales Amount]] - Sales_Data[[#This Row],[Targets]]</f>
        <v>-5206</v>
      </c>
    </row>
    <row r="227" spans="1:10">
      <c r="A227" s="5">
        <v>44409</v>
      </c>
      <c r="B227" s="4" t="s">
        <v>24</v>
      </c>
      <c r="C227" s="4" t="s">
        <v>25</v>
      </c>
      <c r="D227" s="4" t="s">
        <v>26</v>
      </c>
      <c r="E227" s="4" t="s">
        <v>4</v>
      </c>
      <c r="F227" s="6">
        <v>16321.6</v>
      </c>
      <c r="G227" s="4" t="s">
        <v>27</v>
      </c>
      <c r="H227" s="9">
        <v>15000</v>
      </c>
      <c r="I227" s="8" cm="1">
        <f t="array" ref="I227">IF(F227 &gt;= H227,F227 * commission, 0)</f>
        <v>1632.16</v>
      </c>
      <c r="J227" s="13">
        <f>Sales_Data[[#This Row],[Sales Amount]] - Sales_Data[[#This Row],[Targets]]</f>
        <v>1321.6000000000004</v>
      </c>
    </row>
    <row r="228" spans="1:10">
      <c r="A228" s="5">
        <v>44409</v>
      </c>
      <c r="B228" s="4" t="s">
        <v>19</v>
      </c>
      <c r="C228" s="4" t="s">
        <v>20</v>
      </c>
      <c r="D228" s="4" t="s">
        <v>21</v>
      </c>
      <c r="E228" s="4" t="s">
        <v>4</v>
      </c>
      <c r="F228" s="6">
        <v>19678.8</v>
      </c>
      <c r="G228" s="4" t="s">
        <v>22</v>
      </c>
      <c r="H228" s="9">
        <v>15000</v>
      </c>
      <c r="I228" s="8" cm="1">
        <f t="array" ref="I228">IF(F228 &gt;= H228,F228 * commission, 0)</f>
        <v>1967.88</v>
      </c>
      <c r="J228" s="13">
        <f>Sales_Data[[#This Row],[Sales Amount]] - Sales_Data[[#This Row],[Targets]]</f>
        <v>4678.7999999999993</v>
      </c>
    </row>
    <row r="229" spans="1:10">
      <c r="A229" s="5">
        <v>44409</v>
      </c>
      <c r="B229" s="4" t="s">
        <v>24</v>
      </c>
      <c r="C229" s="4" t="s">
        <v>25</v>
      </c>
      <c r="D229" s="4" t="s">
        <v>26</v>
      </c>
      <c r="E229" s="4" t="s">
        <v>4</v>
      </c>
      <c r="F229" s="6">
        <v>33694.800000000003</v>
      </c>
      <c r="G229" s="4" t="s">
        <v>22</v>
      </c>
      <c r="H229" s="9">
        <v>15000</v>
      </c>
      <c r="I229" s="8" cm="1">
        <f t="array" ref="I229">IF(F229 &gt;= H229,F229 * commission, 0)</f>
        <v>3369.4800000000005</v>
      </c>
      <c r="J229" s="13">
        <f>Sales_Data[[#This Row],[Sales Amount]] - Sales_Data[[#This Row],[Targets]]</f>
        <v>18694.800000000003</v>
      </c>
    </row>
    <row r="230" spans="1:10">
      <c r="A230" s="5">
        <v>44409</v>
      </c>
      <c r="B230" s="4" t="s">
        <v>32</v>
      </c>
      <c r="C230" s="4" t="s">
        <v>33</v>
      </c>
      <c r="D230" s="4" t="s">
        <v>34</v>
      </c>
      <c r="E230" s="4" t="s">
        <v>4</v>
      </c>
      <c r="F230" s="6">
        <v>39236</v>
      </c>
      <c r="G230" s="4" t="s">
        <v>28</v>
      </c>
      <c r="H230" s="9">
        <v>15000</v>
      </c>
      <c r="I230" s="8" cm="1">
        <f t="array" ref="I230">IF(F230 &gt;= H230,F230 * commission, 0)</f>
        <v>3923.6000000000004</v>
      </c>
      <c r="J230" s="13">
        <f>Sales_Data[[#This Row],[Sales Amount]] - Sales_Data[[#This Row],[Targets]]</f>
        <v>24236</v>
      </c>
    </row>
    <row r="231" spans="1:10">
      <c r="A231" s="5">
        <v>44409</v>
      </c>
      <c r="B231" s="4" t="s">
        <v>19</v>
      </c>
      <c r="C231" s="4" t="s">
        <v>20</v>
      </c>
      <c r="D231" s="4" t="s">
        <v>21</v>
      </c>
      <c r="E231" s="4" t="s">
        <v>4</v>
      </c>
      <c r="F231" s="6">
        <v>43088.2</v>
      </c>
      <c r="G231" s="4" t="s">
        <v>27</v>
      </c>
      <c r="H231" s="9">
        <v>15000</v>
      </c>
      <c r="I231" s="8" cm="1">
        <f t="array" ref="I231">IF(F231 &gt;= H231,F231 * commission, 0)</f>
        <v>4308.82</v>
      </c>
      <c r="J231" s="13">
        <f>Sales_Data[[#This Row],[Sales Amount]] - Sales_Data[[#This Row],[Targets]]</f>
        <v>28088.199999999997</v>
      </c>
    </row>
    <row r="232" spans="1:10">
      <c r="A232" s="5">
        <v>44409</v>
      </c>
      <c r="B232" s="4" t="s">
        <v>35</v>
      </c>
      <c r="C232" s="4" t="s">
        <v>36</v>
      </c>
      <c r="D232" s="4" t="s">
        <v>37</v>
      </c>
      <c r="E232" s="4" t="s">
        <v>2</v>
      </c>
      <c r="F232" s="6">
        <v>6201</v>
      </c>
      <c r="G232" s="4" t="s">
        <v>28</v>
      </c>
      <c r="H232" s="9">
        <v>15000</v>
      </c>
      <c r="I232" s="8" cm="1">
        <f t="array" ref="I232">IF(F232 &gt;= H232,F232 * commission, 0)</f>
        <v>0</v>
      </c>
      <c r="J232" s="13">
        <f>Sales_Data[[#This Row],[Sales Amount]] - Sales_Data[[#This Row],[Targets]]</f>
        <v>-8799</v>
      </c>
    </row>
    <row r="233" spans="1:10">
      <c r="A233" s="5">
        <v>44409</v>
      </c>
      <c r="B233" s="4" t="s">
        <v>38</v>
      </c>
      <c r="C233" s="4" t="s">
        <v>39</v>
      </c>
      <c r="D233" s="4" t="s">
        <v>40</v>
      </c>
      <c r="E233" s="4" t="s">
        <v>2</v>
      </c>
      <c r="F233" s="6">
        <v>6311.4</v>
      </c>
      <c r="G233" s="4" t="s">
        <v>28</v>
      </c>
      <c r="H233" s="9">
        <v>15000</v>
      </c>
      <c r="I233" s="8" cm="1">
        <f t="array" ref="I233">IF(F233 &gt;= H233,F233 * commission, 0)</f>
        <v>0</v>
      </c>
      <c r="J233" s="13">
        <f>Sales_Data[[#This Row],[Sales Amount]] - Sales_Data[[#This Row],[Targets]]</f>
        <v>-8688.6</v>
      </c>
    </row>
    <row r="234" spans="1:10">
      <c r="A234" s="5">
        <v>44409</v>
      </c>
      <c r="B234" s="4" t="s">
        <v>80</v>
      </c>
      <c r="C234" s="4" t="s">
        <v>81</v>
      </c>
      <c r="D234" s="4" t="s">
        <v>82</v>
      </c>
      <c r="E234" s="4" t="s">
        <v>2</v>
      </c>
      <c r="F234" s="6">
        <v>7289.6</v>
      </c>
      <c r="G234" s="4" t="s">
        <v>27</v>
      </c>
      <c r="H234" s="9">
        <v>15000</v>
      </c>
      <c r="I234" s="8" cm="1">
        <f t="array" ref="I234">IF(F234 &gt;= H234,F234 * commission, 0)</f>
        <v>0</v>
      </c>
      <c r="J234" s="13">
        <f>Sales_Data[[#This Row],[Sales Amount]] - Sales_Data[[#This Row],[Targets]]</f>
        <v>-7710.4</v>
      </c>
    </row>
    <row r="235" spans="1:10">
      <c r="A235" s="5">
        <v>44409</v>
      </c>
      <c r="B235" s="4" t="s">
        <v>80</v>
      </c>
      <c r="C235" s="4" t="s">
        <v>81</v>
      </c>
      <c r="D235" s="4" t="s">
        <v>82</v>
      </c>
      <c r="E235" s="4" t="s">
        <v>2</v>
      </c>
      <c r="F235" s="6">
        <v>8322.4</v>
      </c>
      <c r="G235" s="4" t="s">
        <v>27</v>
      </c>
      <c r="H235" s="9">
        <v>15000</v>
      </c>
      <c r="I235" s="8" cm="1">
        <f t="array" ref="I235">IF(F235 &gt;= H235,F235 * commission, 0)</f>
        <v>0</v>
      </c>
      <c r="J235" s="13">
        <f>Sales_Data[[#This Row],[Sales Amount]] - Sales_Data[[#This Row],[Targets]]</f>
        <v>-6677.6</v>
      </c>
    </row>
    <row r="236" spans="1:10">
      <c r="A236" s="5">
        <v>44409</v>
      </c>
      <c r="B236" s="4" t="s">
        <v>77</v>
      </c>
      <c r="C236" s="4" t="s">
        <v>78</v>
      </c>
      <c r="D236" s="4" t="s">
        <v>79</v>
      </c>
      <c r="E236" s="4" t="s">
        <v>2</v>
      </c>
      <c r="F236" s="6">
        <v>8501.9000000000015</v>
      </c>
      <c r="G236" s="4" t="s">
        <v>22</v>
      </c>
      <c r="H236" s="9">
        <v>15000</v>
      </c>
      <c r="I236" s="8" cm="1">
        <f t="array" ref="I236">IF(F236 &gt;= H236,F236 * commission, 0)</f>
        <v>0</v>
      </c>
      <c r="J236" s="13">
        <f>Sales_Data[[#This Row],[Sales Amount]] - Sales_Data[[#This Row],[Targets]]</f>
        <v>-6498.0999999999985</v>
      </c>
    </row>
    <row r="237" spans="1:10">
      <c r="A237" s="5">
        <v>44409</v>
      </c>
      <c r="B237" s="4" t="s">
        <v>35</v>
      </c>
      <c r="C237" s="4" t="s">
        <v>36</v>
      </c>
      <c r="D237" s="4" t="s">
        <v>37</v>
      </c>
      <c r="E237" s="4" t="s">
        <v>2</v>
      </c>
      <c r="F237" s="6">
        <v>9708.2999999999993</v>
      </c>
      <c r="G237" s="4" t="s">
        <v>22</v>
      </c>
      <c r="H237" s="9">
        <v>15000</v>
      </c>
      <c r="I237" s="8" cm="1">
        <f t="array" ref="I237">IF(F237 &gt;= H237,F237 * commission, 0)</f>
        <v>0</v>
      </c>
      <c r="J237" s="13">
        <f>Sales_Data[[#This Row],[Sales Amount]] - Sales_Data[[#This Row],[Targets]]</f>
        <v>-5291.7000000000007</v>
      </c>
    </row>
    <row r="238" spans="1:10">
      <c r="A238" s="5">
        <v>44409</v>
      </c>
      <c r="B238" s="4" t="s">
        <v>80</v>
      </c>
      <c r="C238" s="4" t="s">
        <v>81</v>
      </c>
      <c r="D238" s="4" t="s">
        <v>82</v>
      </c>
      <c r="E238" s="4" t="s">
        <v>2</v>
      </c>
      <c r="F238" s="6">
        <v>12944.399999999998</v>
      </c>
      <c r="G238" s="4" t="s">
        <v>22</v>
      </c>
      <c r="H238" s="9">
        <v>15000</v>
      </c>
      <c r="I238" s="8" cm="1">
        <f t="array" ref="I238">IF(F238 &gt;= H238,F238 * commission, 0)</f>
        <v>0</v>
      </c>
      <c r="J238" s="13">
        <f>Sales_Data[[#This Row],[Sales Amount]] - Sales_Data[[#This Row],[Targets]]</f>
        <v>-2055.6000000000022</v>
      </c>
    </row>
    <row r="239" spans="1:10">
      <c r="A239" s="5">
        <v>44409</v>
      </c>
      <c r="B239" s="4" t="s">
        <v>35</v>
      </c>
      <c r="C239" s="4" t="s">
        <v>36</v>
      </c>
      <c r="D239" s="4" t="s">
        <v>37</v>
      </c>
      <c r="E239" s="4" t="s">
        <v>2</v>
      </c>
      <c r="F239" s="6">
        <v>14248</v>
      </c>
      <c r="G239" s="4" t="s">
        <v>22</v>
      </c>
      <c r="H239" s="9">
        <v>15000</v>
      </c>
      <c r="I239" s="8" cm="1">
        <f t="array" ref="I239">IF(F239 &gt;= H239,F239 * commission, 0)</f>
        <v>0</v>
      </c>
      <c r="J239" s="13">
        <f>Sales_Data[[#This Row],[Sales Amount]] - Sales_Data[[#This Row],[Targets]]</f>
        <v>-752</v>
      </c>
    </row>
    <row r="240" spans="1:10">
      <c r="A240" s="5">
        <v>44409</v>
      </c>
      <c r="B240" s="4" t="s">
        <v>80</v>
      </c>
      <c r="C240" s="4" t="s">
        <v>81</v>
      </c>
      <c r="D240" s="4" t="s">
        <v>82</v>
      </c>
      <c r="E240" s="4" t="s">
        <v>2</v>
      </c>
      <c r="F240" s="6">
        <v>18298.399999999998</v>
      </c>
      <c r="G240" s="4" t="s">
        <v>28</v>
      </c>
      <c r="H240" s="9">
        <v>15000</v>
      </c>
      <c r="I240" s="8" cm="1">
        <f t="array" ref="I240">IF(F240 &gt;= H240,F240 * commission, 0)</f>
        <v>1829.84</v>
      </c>
      <c r="J240" s="13">
        <f>Sales_Data[[#This Row],[Sales Amount]] - Sales_Data[[#This Row],[Targets]]</f>
        <v>3298.3999999999978</v>
      </c>
    </row>
    <row r="241" spans="1:10">
      <c r="A241" s="5">
        <v>44409</v>
      </c>
      <c r="B241" s="4" t="s">
        <v>80</v>
      </c>
      <c r="C241" s="4" t="s">
        <v>81</v>
      </c>
      <c r="D241" s="4" t="s">
        <v>82</v>
      </c>
      <c r="E241" s="4" t="s">
        <v>2</v>
      </c>
      <c r="F241" s="6">
        <v>18838.399999999998</v>
      </c>
      <c r="G241" s="4" t="s">
        <v>28</v>
      </c>
      <c r="H241" s="9">
        <v>15000</v>
      </c>
      <c r="I241" s="8" cm="1">
        <f t="array" ref="I241">IF(F241 &gt;= H241,F241 * commission, 0)</f>
        <v>1883.84</v>
      </c>
      <c r="J241" s="13">
        <f>Sales_Data[[#This Row],[Sales Amount]] - Sales_Data[[#This Row],[Targets]]</f>
        <v>3838.3999999999978</v>
      </c>
    </row>
    <row r="242" spans="1:10">
      <c r="A242" s="5">
        <v>44409</v>
      </c>
      <c r="B242" s="4" t="s">
        <v>68</v>
      </c>
      <c r="C242" s="4" t="s">
        <v>69</v>
      </c>
      <c r="D242" s="4" t="s">
        <v>70</v>
      </c>
      <c r="E242" s="4" t="s">
        <v>2</v>
      </c>
      <c r="F242" s="6">
        <v>24469.599999999999</v>
      </c>
      <c r="G242" s="4" t="s">
        <v>22</v>
      </c>
      <c r="H242" s="9">
        <v>15000</v>
      </c>
      <c r="I242" s="8" cm="1">
        <f t="array" ref="I242">IF(F242 &gt;= H242,F242 * commission, 0)</f>
        <v>2446.96</v>
      </c>
      <c r="J242" s="13">
        <f>Sales_Data[[#This Row],[Sales Amount]] - Sales_Data[[#This Row],[Targets]]</f>
        <v>9469.5999999999985</v>
      </c>
    </row>
    <row r="243" spans="1:10">
      <c r="A243" s="5">
        <v>44409</v>
      </c>
      <c r="B243" s="4" t="s">
        <v>68</v>
      </c>
      <c r="C243" s="4" t="s">
        <v>69</v>
      </c>
      <c r="D243" s="4" t="s">
        <v>70</v>
      </c>
      <c r="E243" s="4" t="s">
        <v>2</v>
      </c>
      <c r="F243" s="6">
        <v>31053.4</v>
      </c>
      <c r="G243" s="4" t="s">
        <v>27</v>
      </c>
      <c r="H243" s="9">
        <v>15000</v>
      </c>
      <c r="I243" s="8" cm="1">
        <f t="array" ref="I243">IF(F243 &gt;= H243,F243 * commission, 0)</f>
        <v>3105.34</v>
      </c>
      <c r="J243" s="13">
        <f>Sales_Data[[#This Row],[Sales Amount]] - Sales_Data[[#This Row],[Targets]]</f>
        <v>16053.400000000001</v>
      </c>
    </row>
    <row r="244" spans="1:10">
      <c r="A244" s="5">
        <v>44409</v>
      </c>
      <c r="B244" s="4" t="s">
        <v>47</v>
      </c>
      <c r="C244" s="4" t="s">
        <v>48</v>
      </c>
      <c r="D244" s="4" t="s">
        <v>49</v>
      </c>
      <c r="E244" s="4" t="s">
        <v>3</v>
      </c>
      <c r="F244" s="6">
        <v>3386.6000000000004</v>
      </c>
      <c r="G244" s="4" t="s">
        <v>22</v>
      </c>
      <c r="H244" s="9">
        <v>15000</v>
      </c>
      <c r="I244" s="8" cm="1">
        <f t="array" ref="I244">IF(F244 &gt;= H244,F244 * commission, 0)</f>
        <v>0</v>
      </c>
      <c r="J244" s="13">
        <f>Sales_Data[[#This Row],[Sales Amount]] - Sales_Data[[#This Row],[Targets]]</f>
        <v>-11613.4</v>
      </c>
    </row>
    <row r="245" spans="1:10">
      <c r="A245" s="5">
        <v>44409</v>
      </c>
      <c r="B245" s="4" t="s">
        <v>50</v>
      </c>
      <c r="C245" s="4" t="s">
        <v>51</v>
      </c>
      <c r="D245" s="4" t="s">
        <v>52</v>
      </c>
      <c r="E245" s="4" t="s">
        <v>3</v>
      </c>
      <c r="F245" s="6">
        <v>4028</v>
      </c>
      <c r="G245" s="4" t="s">
        <v>27</v>
      </c>
      <c r="H245" s="9">
        <v>15000</v>
      </c>
      <c r="I245" s="8" cm="1">
        <f t="array" ref="I245">IF(F245 &gt;= H245,F245 * commission, 0)</f>
        <v>0</v>
      </c>
      <c r="J245" s="13">
        <f>Sales_Data[[#This Row],[Sales Amount]] - Sales_Data[[#This Row],[Targets]]</f>
        <v>-10972</v>
      </c>
    </row>
    <row r="246" spans="1:10">
      <c r="A246" s="5">
        <v>44409</v>
      </c>
      <c r="B246" s="4" t="s">
        <v>41</v>
      </c>
      <c r="C246" s="4" t="s">
        <v>42</v>
      </c>
      <c r="D246" s="4" t="s">
        <v>43</v>
      </c>
      <c r="E246" s="4" t="s">
        <v>3</v>
      </c>
      <c r="F246" s="6">
        <v>5532.7999999999993</v>
      </c>
      <c r="G246" s="4" t="s">
        <v>22</v>
      </c>
      <c r="H246" s="9">
        <v>15000</v>
      </c>
      <c r="I246" s="8" cm="1">
        <f t="array" ref="I246">IF(F246 &gt;= H246,F246 * commission, 0)</f>
        <v>0</v>
      </c>
      <c r="J246" s="13">
        <f>Sales_Data[[#This Row],[Sales Amount]] - Sales_Data[[#This Row],[Targets]]</f>
        <v>-9467.2000000000007</v>
      </c>
    </row>
    <row r="247" spans="1:10">
      <c r="A247" s="5">
        <v>44409</v>
      </c>
      <c r="B247" s="4" t="s">
        <v>47</v>
      </c>
      <c r="C247" s="4" t="s">
        <v>48</v>
      </c>
      <c r="D247" s="4" t="s">
        <v>49</v>
      </c>
      <c r="E247" s="4" t="s">
        <v>3</v>
      </c>
      <c r="F247" s="6">
        <v>10200</v>
      </c>
      <c r="G247" s="4" t="s">
        <v>28</v>
      </c>
      <c r="H247" s="9">
        <v>15000</v>
      </c>
      <c r="I247" s="8" cm="1">
        <f t="array" ref="I247">IF(F247 &gt;= H247,F247 * commission, 0)</f>
        <v>0</v>
      </c>
      <c r="J247" s="13">
        <f>Sales_Data[[#This Row],[Sales Amount]] - Sales_Data[[#This Row],[Targets]]</f>
        <v>-4800</v>
      </c>
    </row>
    <row r="248" spans="1:10">
      <c r="A248" s="5">
        <v>44409</v>
      </c>
      <c r="B248" s="4" t="s">
        <v>41</v>
      </c>
      <c r="C248" s="4" t="s">
        <v>42</v>
      </c>
      <c r="D248" s="4" t="s">
        <v>43</v>
      </c>
      <c r="E248" s="4" t="s">
        <v>3</v>
      </c>
      <c r="F248" s="6">
        <v>13923</v>
      </c>
      <c r="G248" s="4" t="s">
        <v>28</v>
      </c>
      <c r="H248" s="9">
        <v>15000</v>
      </c>
      <c r="I248" s="8" cm="1">
        <f t="array" ref="I248">IF(F248 &gt;= H248,F248 * commission, 0)</f>
        <v>0</v>
      </c>
      <c r="J248" s="13">
        <f>Sales_Data[[#This Row],[Sales Amount]] - Sales_Data[[#This Row],[Targets]]</f>
        <v>-1077</v>
      </c>
    </row>
    <row r="249" spans="1:10">
      <c r="A249" s="5">
        <v>44409</v>
      </c>
      <c r="B249" s="4" t="s">
        <v>50</v>
      </c>
      <c r="C249" s="4" t="s">
        <v>51</v>
      </c>
      <c r="D249" s="4" t="s">
        <v>52</v>
      </c>
      <c r="E249" s="4" t="s">
        <v>3</v>
      </c>
      <c r="F249" s="6">
        <v>17593.399999999998</v>
      </c>
      <c r="G249" s="4" t="s">
        <v>22</v>
      </c>
      <c r="H249" s="9">
        <v>15000</v>
      </c>
      <c r="I249" s="8" cm="1">
        <f t="array" ref="I249">IF(F249 &gt;= H249,F249 * commission, 0)</f>
        <v>1759.34</v>
      </c>
      <c r="J249" s="13">
        <f>Sales_Data[[#This Row],[Sales Amount]] - Sales_Data[[#This Row],[Targets]]</f>
        <v>2593.3999999999978</v>
      </c>
    </row>
    <row r="250" spans="1:10">
      <c r="A250" s="5">
        <v>44409</v>
      </c>
      <c r="B250" s="4" t="s">
        <v>71</v>
      </c>
      <c r="C250" s="4" t="s">
        <v>72</v>
      </c>
      <c r="D250" s="4" t="s">
        <v>73</v>
      </c>
      <c r="E250" s="4" t="s">
        <v>3</v>
      </c>
      <c r="F250" s="6">
        <v>17666</v>
      </c>
      <c r="G250" s="4" t="s">
        <v>27</v>
      </c>
      <c r="H250" s="9">
        <v>15000</v>
      </c>
      <c r="I250" s="8" cm="1">
        <f t="array" ref="I250">IF(F250 &gt;= H250,F250 * commission, 0)</f>
        <v>1766.6000000000001</v>
      </c>
      <c r="J250" s="13">
        <f>Sales_Data[[#This Row],[Sales Amount]] - Sales_Data[[#This Row],[Targets]]</f>
        <v>2666</v>
      </c>
    </row>
    <row r="251" spans="1:10">
      <c r="A251" s="5">
        <v>44409</v>
      </c>
      <c r="B251" s="4" t="s">
        <v>47</v>
      </c>
      <c r="C251" s="4" t="s">
        <v>48</v>
      </c>
      <c r="D251" s="4" t="s">
        <v>49</v>
      </c>
      <c r="E251" s="4" t="s">
        <v>3</v>
      </c>
      <c r="F251" s="6">
        <v>21420</v>
      </c>
      <c r="G251" s="4" t="s">
        <v>28</v>
      </c>
      <c r="H251" s="9">
        <v>15000</v>
      </c>
      <c r="I251" s="8" cm="1">
        <f t="array" ref="I251">IF(F251 &gt;= H251,F251 * commission, 0)</f>
        <v>2142</v>
      </c>
      <c r="J251" s="13">
        <f>Sales_Data[[#This Row],[Sales Amount]] - Sales_Data[[#This Row],[Targets]]</f>
        <v>6420</v>
      </c>
    </row>
    <row r="252" spans="1:10">
      <c r="A252" s="5">
        <v>44409</v>
      </c>
      <c r="B252" s="4" t="s">
        <v>41</v>
      </c>
      <c r="C252" s="4" t="s">
        <v>42</v>
      </c>
      <c r="D252" s="4" t="s">
        <v>43</v>
      </c>
      <c r="E252" s="4" t="s">
        <v>3</v>
      </c>
      <c r="F252" s="6">
        <v>24080</v>
      </c>
      <c r="G252" s="4" t="s">
        <v>27</v>
      </c>
      <c r="H252" s="9">
        <v>15000</v>
      </c>
      <c r="I252" s="8" cm="1">
        <f t="array" ref="I252">IF(F252 &gt;= H252,F252 * commission, 0)</f>
        <v>2408</v>
      </c>
      <c r="J252" s="13">
        <f>Sales_Data[[#This Row],[Sales Amount]] - Sales_Data[[#This Row],[Targets]]</f>
        <v>9080</v>
      </c>
    </row>
    <row r="253" spans="1:10">
      <c r="A253" s="5">
        <v>44409</v>
      </c>
      <c r="B253" s="4" t="s">
        <v>50</v>
      </c>
      <c r="C253" s="4" t="s">
        <v>51</v>
      </c>
      <c r="D253" s="4" t="s">
        <v>52</v>
      </c>
      <c r="E253" s="4" t="s">
        <v>3</v>
      </c>
      <c r="F253" s="6">
        <v>27531</v>
      </c>
      <c r="G253" s="4" t="s">
        <v>28</v>
      </c>
      <c r="H253" s="9">
        <v>15000</v>
      </c>
      <c r="I253" s="8" cm="1">
        <f t="array" ref="I253">IF(F253 &gt;= H253,F253 * commission, 0)</f>
        <v>2753.1000000000004</v>
      </c>
      <c r="J253" s="13">
        <f>Sales_Data[[#This Row],[Sales Amount]] - Sales_Data[[#This Row],[Targets]]</f>
        <v>12531</v>
      </c>
    </row>
    <row r="254" spans="1:10">
      <c r="A254" s="5">
        <v>44409</v>
      </c>
      <c r="B254" s="4" t="s">
        <v>71</v>
      </c>
      <c r="C254" s="4" t="s">
        <v>72</v>
      </c>
      <c r="D254" s="4" t="s">
        <v>73</v>
      </c>
      <c r="E254" s="4" t="s">
        <v>3</v>
      </c>
      <c r="F254" s="6">
        <v>32795.700000000004</v>
      </c>
      <c r="G254" s="4" t="s">
        <v>22</v>
      </c>
      <c r="H254" s="9">
        <v>15000</v>
      </c>
      <c r="I254" s="8" cm="1">
        <f t="array" ref="I254">IF(F254 &gt;= H254,F254 * commission, 0)</f>
        <v>3279.5700000000006</v>
      </c>
      <c r="J254" s="13">
        <f>Sales_Data[[#This Row],[Sales Amount]] - Sales_Data[[#This Row],[Targets]]</f>
        <v>17795.700000000004</v>
      </c>
    </row>
    <row r="255" spans="1:10">
      <c r="A255" s="5">
        <v>44409</v>
      </c>
      <c r="B255" s="4" t="s">
        <v>56</v>
      </c>
      <c r="C255" s="4" t="s">
        <v>57</v>
      </c>
      <c r="D255" s="4" t="s">
        <v>58</v>
      </c>
      <c r="E255" s="4" t="s">
        <v>5</v>
      </c>
      <c r="F255" s="6">
        <v>3760.5</v>
      </c>
      <c r="G255" s="4" t="s">
        <v>27</v>
      </c>
      <c r="H255" s="9">
        <v>15000</v>
      </c>
      <c r="I255" s="8" cm="1">
        <f t="array" ref="I255">IF(F255 &gt;= H255,F255 * commission, 0)</f>
        <v>0</v>
      </c>
      <c r="J255" s="13">
        <f>Sales_Data[[#This Row],[Sales Amount]] - Sales_Data[[#This Row],[Targets]]</f>
        <v>-11239.5</v>
      </c>
    </row>
    <row r="256" spans="1:10">
      <c r="A256" s="5">
        <v>44409</v>
      </c>
      <c r="B256" s="4" t="s">
        <v>56</v>
      </c>
      <c r="C256" s="4" t="s">
        <v>57</v>
      </c>
      <c r="D256" s="4" t="s">
        <v>58</v>
      </c>
      <c r="E256" s="4" t="s">
        <v>5</v>
      </c>
      <c r="F256" s="6">
        <v>4322.8</v>
      </c>
      <c r="G256" s="4" t="s">
        <v>28</v>
      </c>
      <c r="H256" s="9">
        <v>15000</v>
      </c>
      <c r="I256" s="8" cm="1">
        <f t="array" ref="I256">IF(F256 &gt;= H256,F256 * commission, 0)</f>
        <v>0</v>
      </c>
      <c r="J256" s="13">
        <f>Sales_Data[[#This Row],[Sales Amount]] - Sales_Data[[#This Row],[Targets]]</f>
        <v>-10677.2</v>
      </c>
    </row>
    <row r="257" spans="1:10">
      <c r="A257" s="5">
        <v>44409</v>
      </c>
      <c r="B257" s="4" t="s">
        <v>56</v>
      </c>
      <c r="C257" s="4" t="s">
        <v>57</v>
      </c>
      <c r="D257" s="4" t="s">
        <v>58</v>
      </c>
      <c r="E257" s="4" t="s">
        <v>5</v>
      </c>
      <c r="F257" s="6">
        <v>9697.6</v>
      </c>
      <c r="G257" s="4" t="s">
        <v>22</v>
      </c>
      <c r="H257" s="9">
        <v>15000</v>
      </c>
      <c r="I257" s="8" cm="1">
        <f t="array" ref="I257">IF(F257 &gt;= H257,F257 * commission, 0)</f>
        <v>0</v>
      </c>
      <c r="J257" s="13">
        <f>Sales_Data[[#This Row],[Sales Amount]] - Sales_Data[[#This Row],[Targets]]</f>
        <v>-5302.4</v>
      </c>
    </row>
    <row r="258" spans="1:10">
      <c r="A258" s="5">
        <v>44409</v>
      </c>
      <c r="B258" s="4" t="s">
        <v>56</v>
      </c>
      <c r="C258" s="4" t="s">
        <v>57</v>
      </c>
      <c r="D258" s="4" t="s">
        <v>58</v>
      </c>
      <c r="E258" s="4" t="s">
        <v>5</v>
      </c>
      <c r="F258" s="6">
        <v>10391.699999999999</v>
      </c>
      <c r="G258" s="4" t="s">
        <v>28</v>
      </c>
      <c r="H258" s="9">
        <v>15000</v>
      </c>
      <c r="I258" s="8" cm="1">
        <f t="array" ref="I258">IF(F258 &gt;= H258,F258 * commission, 0)</f>
        <v>0</v>
      </c>
      <c r="J258" s="13">
        <f>Sales_Data[[#This Row],[Sales Amount]] - Sales_Data[[#This Row],[Targets]]</f>
        <v>-4608.3000000000011</v>
      </c>
    </row>
    <row r="259" spans="1:10">
      <c r="A259" s="5">
        <v>44409</v>
      </c>
      <c r="B259" s="4" t="s">
        <v>62</v>
      </c>
      <c r="C259" s="4" t="s">
        <v>63</v>
      </c>
      <c r="D259" s="4" t="s">
        <v>64</v>
      </c>
      <c r="E259" s="4" t="s">
        <v>5</v>
      </c>
      <c r="F259" s="6">
        <v>15670.2</v>
      </c>
      <c r="G259" s="4" t="s">
        <v>28</v>
      </c>
      <c r="H259" s="9">
        <v>15000</v>
      </c>
      <c r="I259" s="8" cm="1">
        <f t="array" ref="I259">IF(F259 &gt;= H259,F259 * commission, 0)</f>
        <v>1567.0200000000002</v>
      </c>
      <c r="J259" s="13">
        <f>Sales_Data[[#This Row],[Sales Amount]] - Sales_Data[[#This Row],[Targets]]</f>
        <v>670.20000000000073</v>
      </c>
    </row>
    <row r="260" spans="1:10">
      <c r="A260" s="5">
        <v>44409</v>
      </c>
      <c r="B260" s="4" t="s">
        <v>59</v>
      </c>
      <c r="C260" s="4" t="s">
        <v>60</v>
      </c>
      <c r="D260" s="4" t="s">
        <v>61</v>
      </c>
      <c r="E260" s="4" t="s">
        <v>5</v>
      </c>
      <c r="F260" s="6">
        <v>22477.9</v>
      </c>
      <c r="G260" s="4" t="s">
        <v>22</v>
      </c>
      <c r="H260" s="9">
        <v>15000</v>
      </c>
      <c r="I260" s="8" cm="1">
        <f t="array" ref="I260">IF(F260 &gt;= H260,F260 * commission, 0)</f>
        <v>2247.7900000000004</v>
      </c>
      <c r="J260" s="13">
        <f>Sales_Data[[#This Row],[Sales Amount]] - Sales_Data[[#This Row],[Targets]]</f>
        <v>7477.9000000000015</v>
      </c>
    </row>
    <row r="261" spans="1:10">
      <c r="A261" s="5">
        <v>44409</v>
      </c>
      <c r="B261" s="4" t="s">
        <v>59</v>
      </c>
      <c r="C261" s="4" t="s">
        <v>60</v>
      </c>
      <c r="D261" s="4" t="s">
        <v>61</v>
      </c>
      <c r="E261" s="4" t="s">
        <v>5</v>
      </c>
      <c r="F261" s="6">
        <v>36088.1</v>
      </c>
      <c r="G261" s="4" t="s">
        <v>28</v>
      </c>
      <c r="H261" s="9">
        <v>15000</v>
      </c>
      <c r="I261" s="8" cm="1">
        <f t="array" ref="I261">IF(F261 &gt;= H261,F261 * commission, 0)</f>
        <v>3608.81</v>
      </c>
      <c r="J261" s="13">
        <f>Sales_Data[[#This Row],[Sales Amount]] - Sales_Data[[#This Row],[Targets]]</f>
        <v>21088.1</v>
      </c>
    </row>
    <row r="262" spans="1:10">
      <c r="A262" s="5">
        <v>44409</v>
      </c>
      <c r="B262" s="4" t="s">
        <v>53</v>
      </c>
      <c r="C262" s="4" t="s">
        <v>54</v>
      </c>
      <c r="D262" s="4" t="s">
        <v>55</v>
      </c>
      <c r="E262" s="4" t="s">
        <v>5</v>
      </c>
      <c r="F262" s="6">
        <v>43388.100000000006</v>
      </c>
      <c r="G262" s="4" t="s">
        <v>22</v>
      </c>
      <c r="H262" s="9">
        <v>15000</v>
      </c>
      <c r="I262" s="8" cm="1">
        <f t="array" ref="I262">IF(F262 &gt;= H262,F262 * commission, 0)</f>
        <v>4338.8100000000004</v>
      </c>
      <c r="J262" s="13">
        <f>Sales_Data[[#This Row],[Sales Amount]] - Sales_Data[[#This Row],[Targets]]</f>
        <v>28388.100000000006</v>
      </c>
    </row>
    <row r="263" spans="1:10">
      <c r="A263" s="5">
        <v>44440</v>
      </c>
      <c r="B263" s="4" t="s">
        <v>29</v>
      </c>
      <c r="C263" s="4" t="s">
        <v>30</v>
      </c>
      <c r="D263" s="4" t="s">
        <v>31</v>
      </c>
      <c r="E263" s="4" t="s">
        <v>4</v>
      </c>
      <c r="F263" s="6">
        <v>5572.3</v>
      </c>
      <c r="G263" s="4" t="s">
        <v>27</v>
      </c>
      <c r="H263" s="9">
        <v>15000</v>
      </c>
      <c r="I263" s="8" cm="1">
        <f t="array" ref="I263">IF(F263 &gt;= H263,F263 * commission, 0)</f>
        <v>0</v>
      </c>
      <c r="J263" s="13">
        <f>Sales_Data[[#This Row],[Sales Amount]] - Sales_Data[[#This Row],[Targets]]</f>
        <v>-9427.7000000000007</v>
      </c>
    </row>
    <row r="264" spans="1:10">
      <c r="A264" s="5">
        <v>44440</v>
      </c>
      <c r="B264" s="4" t="s">
        <v>19</v>
      </c>
      <c r="C264" s="4" t="s">
        <v>20</v>
      </c>
      <c r="D264" s="4" t="s">
        <v>21</v>
      </c>
      <c r="E264" s="4" t="s">
        <v>4</v>
      </c>
      <c r="F264" s="6">
        <v>7496.9999999999991</v>
      </c>
      <c r="G264" s="4" t="s">
        <v>22</v>
      </c>
      <c r="H264" s="9">
        <v>15000</v>
      </c>
      <c r="I264" s="8" cm="1">
        <f t="array" ref="I264">IF(F264 &gt;= H264,F264 * commission, 0)</f>
        <v>0</v>
      </c>
      <c r="J264" s="13">
        <f>Sales_Data[[#This Row],[Sales Amount]] - Sales_Data[[#This Row],[Targets]]</f>
        <v>-7503.0000000000009</v>
      </c>
    </row>
    <row r="265" spans="1:10">
      <c r="A265" s="5">
        <v>44440</v>
      </c>
      <c r="B265" s="4" t="s">
        <v>32</v>
      </c>
      <c r="C265" s="4" t="s">
        <v>33</v>
      </c>
      <c r="D265" s="4" t="s">
        <v>34</v>
      </c>
      <c r="E265" s="4" t="s">
        <v>4</v>
      </c>
      <c r="F265" s="6">
        <v>9651.1999999999989</v>
      </c>
      <c r="G265" s="4" t="s">
        <v>27</v>
      </c>
      <c r="H265" s="9">
        <v>15000</v>
      </c>
      <c r="I265" s="8" cm="1">
        <f t="array" ref="I265">IF(F265 &gt;= H265,F265 * commission, 0)</f>
        <v>0</v>
      </c>
      <c r="J265" s="13">
        <f>Sales_Data[[#This Row],[Sales Amount]] - Sales_Data[[#This Row],[Targets]]</f>
        <v>-5348.8000000000011</v>
      </c>
    </row>
    <row r="266" spans="1:10">
      <c r="A266" s="5">
        <v>44440</v>
      </c>
      <c r="B266" s="4" t="s">
        <v>29</v>
      </c>
      <c r="C266" s="4" t="s">
        <v>30</v>
      </c>
      <c r="D266" s="4" t="s">
        <v>31</v>
      </c>
      <c r="E266" s="4" t="s">
        <v>4</v>
      </c>
      <c r="F266" s="6">
        <v>10492.199999999997</v>
      </c>
      <c r="G266" s="4" t="s">
        <v>28</v>
      </c>
      <c r="H266" s="9">
        <v>15000</v>
      </c>
      <c r="I266" s="8" cm="1">
        <f t="array" ref="I266">IF(F266 &gt;= H266,F266 * commission, 0)</f>
        <v>0</v>
      </c>
      <c r="J266" s="13">
        <f>Sales_Data[[#This Row],[Sales Amount]] - Sales_Data[[#This Row],[Targets]]</f>
        <v>-4507.8000000000029</v>
      </c>
    </row>
    <row r="267" spans="1:10">
      <c r="A267" s="5">
        <v>44440</v>
      </c>
      <c r="B267" s="4" t="s">
        <v>29</v>
      </c>
      <c r="C267" s="4" t="s">
        <v>30</v>
      </c>
      <c r="D267" s="4" t="s">
        <v>31</v>
      </c>
      <c r="E267" s="4" t="s">
        <v>4</v>
      </c>
      <c r="F267" s="6">
        <v>18396.7</v>
      </c>
      <c r="G267" s="4" t="s">
        <v>27</v>
      </c>
      <c r="H267" s="9">
        <v>15000</v>
      </c>
      <c r="I267" s="8" cm="1">
        <f t="array" ref="I267">IF(F267 &gt;= H267,F267 * commission, 0)</f>
        <v>1839.67</v>
      </c>
      <c r="J267" s="13">
        <f>Sales_Data[[#This Row],[Sales Amount]] - Sales_Data[[#This Row],[Targets]]</f>
        <v>3396.7000000000007</v>
      </c>
    </row>
    <row r="268" spans="1:10">
      <c r="A268" s="5">
        <v>44440</v>
      </c>
      <c r="B268" s="4" t="s">
        <v>32</v>
      </c>
      <c r="C268" s="4" t="s">
        <v>33</v>
      </c>
      <c r="D268" s="4" t="s">
        <v>34</v>
      </c>
      <c r="E268" s="4" t="s">
        <v>4</v>
      </c>
      <c r="F268" s="6">
        <v>23849.599999999999</v>
      </c>
      <c r="G268" s="4" t="s">
        <v>27</v>
      </c>
      <c r="H268" s="9">
        <v>15000</v>
      </c>
      <c r="I268" s="8" cm="1">
        <f t="array" ref="I268">IF(F268 &gt;= H268,F268 * commission, 0)</f>
        <v>2384.96</v>
      </c>
      <c r="J268" s="13">
        <f>Sales_Data[[#This Row],[Sales Amount]] - Sales_Data[[#This Row],[Targets]]</f>
        <v>8849.5999999999985</v>
      </c>
    </row>
    <row r="269" spans="1:10">
      <c r="A269" s="5">
        <v>44440</v>
      </c>
      <c r="B269" s="4" t="s">
        <v>24</v>
      </c>
      <c r="C269" s="4" t="s">
        <v>25</v>
      </c>
      <c r="D269" s="4" t="s">
        <v>26</v>
      </c>
      <c r="E269" s="4" t="s">
        <v>4</v>
      </c>
      <c r="F269" s="6">
        <v>23882.399999999998</v>
      </c>
      <c r="G269" s="4" t="s">
        <v>28</v>
      </c>
      <c r="H269" s="9">
        <v>15000</v>
      </c>
      <c r="I269" s="8" cm="1">
        <f t="array" ref="I269">IF(F269 &gt;= H269,F269 * commission, 0)</f>
        <v>2388.2399999999998</v>
      </c>
      <c r="J269" s="13">
        <f>Sales_Data[[#This Row],[Sales Amount]] - Sales_Data[[#This Row],[Targets]]</f>
        <v>8882.3999999999978</v>
      </c>
    </row>
    <row r="270" spans="1:10">
      <c r="A270" s="5">
        <v>44440</v>
      </c>
      <c r="B270" s="4" t="s">
        <v>32</v>
      </c>
      <c r="C270" s="4" t="s">
        <v>33</v>
      </c>
      <c r="D270" s="4" t="s">
        <v>34</v>
      </c>
      <c r="E270" s="4" t="s">
        <v>4</v>
      </c>
      <c r="F270" s="6">
        <v>34041.300000000003</v>
      </c>
      <c r="G270" s="4" t="s">
        <v>28</v>
      </c>
      <c r="H270" s="9">
        <v>15000</v>
      </c>
      <c r="I270" s="8" cm="1">
        <f t="array" ref="I270">IF(F270 &gt;= H270,F270 * commission, 0)</f>
        <v>3404.1300000000006</v>
      </c>
      <c r="J270" s="13">
        <f>Sales_Data[[#This Row],[Sales Amount]] - Sales_Data[[#This Row],[Targets]]</f>
        <v>19041.300000000003</v>
      </c>
    </row>
    <row r="271" spans="1:10">
      <c r="A271" s="5">
        <v>44440</v>
      </c>
      <c r="B271" s="4" t="s">
        <v>80</v>
      </c>
      <c r="C271" s="4" t="s">
        <v>81</v>
      </c>
      <c r="D271" s="4" t="s">
        <v>82</v>
      </c>
      <c r="E271" s="4" t="s">
        <v>2</v>
      </c>
      <c r="F271" s="6">
        <v>3710</v>
      </c>
      <c r="G271" s="4" t="s">
        <v>28</v>
      </c>
      <c r="H271" s="9">
        <v>15000</v>
      </c>
      <c r="I271" s="8" cm="1">
        <f t="array" ref="I271">IF(F271 &gt;= H271,F271 * commission, 0)</f>
        <v>0</v>
      </c>
      <c r="J271" s="13">
        <f>Sales_Data[[#This Row],[Sales Amount]] - Sales_Data[[#This Row],[Targets]]</f>
        <v>-11290</v>
      </c>
    </row>
    <row r="272" spans="1:10">
      <c r="A272" s="5">
        <v>44440</v>
      </c>
      <c r="B272" s="4" t="s">
        <v>77</v>
      </c>
      <c r="C272" s="4" t="s">
        <v>78</v>
      </c>
      <c r="D272" s="4" t="s">
        <v>79</v>
      </c>
      <c r="E272" s="4" t="s">
        <v>2</v>
      </c>
      <c r="F272" s="6">
        <v>6600</v>
      </c>
      <c r="G272" s="4" t="s">
        <v>27</v>
      </c>
      <c r="H272" s="9">
        <v>15000</v>
      </c>
      <c r="I272" s="8" cm="1">
        <f t="array" ref="I272">IF(F272 &gt;= H272,F272 * commission, 0)</f>
        <v>0</v>
      </c>
      <c r="J272" s="13">
        <f>Sales_Data[[#This Row],[Sales Amount]] - Sales_Data[[#This Row],[Targets]]</f>
        <v>-8400</v>
      </c>
    </row>
    <row r="273" spans="1:10">
      <c r="A273" s="5">
        <v>44440</v>
      </c>
      <c r="B273" s="4" t="s">
        <v>68</v>
      </c>
      <c r="C273" s="4" t="s">
        <v>69</v>
      </c>
      <c r="D273" s="4" t="s">
        <v>70</v>
      </c>
      <c r="E273" s="4" t="s">
        <v>2</v>
      </c>
      <c r="F273" s="6">
        <v>8001</v>
      </c>
      <c r="G273" s="4" t="s">
        <v>27</v>
      </c>
      <c r="H273" s="9">
        <v>15000</v>
      </c>
      <c r="I273" s="8" cm="1">
        <f t="array" ref="I273">IF(F273 &gt;= H273,F273 * commission, 0)</f>
        <v>0</v>
      </c>
      <c r="J273" s="13">
        <f>Sales_Data[[#This Row],[Sales Amount]] - Sales_Data[[#This Row],[Targets]]</f>
        <v>-6999</v>
      </c>
    </row>
    <row r="274" spans="1:10">
      <c r="A274" s="5">
        <v>44440</v>
      </c>
      <c r="B274" s="4" t="s">
        <v>80</v>
      </c>
      <c r="C274" s="4" t="s">
        <v>81</v>
      </c>
      <c r="D274" s="4" t="s">
        <v>82</v>
      </c>
      <c r="E274" s="4" t="s">
        <v>2</v>
      </c>
      <c r="F274" s="6">
        <v>8772</v>
      </c>
      <c r="G274" s="4" t="s">
        <v>22</v>
      </c>
      <c r="H274" s="9">
        <v>15000</v>
      </c>
      <c r="I274" s="8" cm="1">
        <f t="array" ref="I274">IF(F274 &gt;= H274,F274 * commission, 0)</f>
        <v>0</v>
      </c>
      <c r="J274" s="13">
        <f>Sales_Data[[#This Row],[Sales Amount]] - Sales_Data[[#This Row],[Targets]]</f>
        <v>-6228</v>
      </c>
    </row>
    <row r="275" spans="1:10">
      <c r="A275" s="5">
        <v>44440</v>
      </c>
      <c r="B275" s="4" t="s">
        <v>80</v>
      </c>
      <c r="C275" s="4" t="s">
        <v>81</v>
      </c>
      <c r="D275" s="4" t="s">
        <v>82</v>
      </c>
      <c r="E275" s="4" t="s">
        <v>2</v>
      </c>
      <c r="F275" s="6">
        <v>14089.199999999999</v>
      </c>
      <c r="G275" s="4" t="s">
        <v>22</v>
      </c>
      <c r="H275" s="9">
        <v>15000</v>
      </c>
      <c r="I275" s="8" cm="1">
        <f t="array" ref="I275">IF(F275 &gt;= H275,F275 * commission, 0)</f>
        <v>0</v>
      </c>
      <c r="J275" s="13">
        <f>Sales_Data[[#This Row],[Sales Amount]] - Sales_Data[[#This Row],[Targets]]</f>
        <v>-910.80000000000109</v>
      </c>
    </row>
    <row r="276" spans="1:10">
      <c r="A276" s="5">
        <v>44440</v>
      </c>
      <c r="B276" s="4" t="s">
        <v>35</v>
      </c>
      <c r="C276" s="4" t="s">
        <v>36</v>
      </c>
      <c r="D276" s="4" t="s">
        <v>37</v>
      </c>
      <c r="E276" s="4" t="s">
        <v>2</v>
      </c>
      <c r="F276" s="6">
        <v>16702.400000000001</v>
      </c>
      <c r="G276" s="4" t="s">
        <v>22</v>
      </c>
      <c r="H276" s="9">
        <v>15000</v>
      </c>
      <c r="I276" s="8" cm="1">
        <f t="array" ref="I276">IF(F276 &gt;= H276,F276 * commission, 0)</f>
        <v>1670.2400000000002</v>
      </c>
      <c r="J276" s="13">
        <f>Sales_Data[[#This Row],[Sales Amount]] - Sales_Data[[#This Row],[Targets]]</f>
        <v>1702.4000000000015</v>
      </c>
    </row>
    <row r="277" spans="1:10">
      <c r="A277" s="5">
        <v>44440</v>
      </c>
      <c r="B277" s="4" t="s">
        <v>35</v>
      </c>
      <c r="C277" s="4" t="s">
        <v>36</v>
      </c>
      <c r="D277" s="4" t="s">
        <v>37</v>
      </c>
      <c r="E277" s="4" t="s">
        <v>2</v>
      </c>
      <c r="F277" s="6">
        <v>21216</v>
      </c>
      <c r="G277" s="4" t="s">
        <v>22</v>
      </c>
      <c r="H277" s="9">
        <v>15000</v>
      </c>
      <c r="I277" s="8" cm="1">
        <f t="array" ref="I277">IF(F277 &gt;= H277,F277 * commission, 0)</f>
        <v>2121.6</v>
      </c>
      <c r="J277" s="13">
        <f>Sales_Data[[#This Row],[Sales Amount]] - Sales_Data[[#This Row],[Targets]]</f>
        <v>6216</v>
      </c>
    </row>
    <row r="278" spans="1:10">
      <c r="A278" s="5">
        <v>44440</v>
      </c>
      <c r="B278" s="4" t="s">
        <v>77</v>
      </c>
      <c r="C278" s="4" t="s">
        <v>78</v>
      </c>
      <c r="D278" s="4" t="s">
        <v>79</v>
      </c>
      <c r="E278" s="4" t="s">
        <v>2</v>
      </c>
      <c r="F278" s="6">
        <v>21546</v>
      </c>
      <c r="G278" s="4" t="s">
        <v>27</v>
      </c>
      <c r="H278" s="9">
        <v>15000</v>
      </c>
      <c r="I278" s="8" cm="1">
        <f t="array" ref="I278">IF(F278 &gt;= H278,F278 * commission, 0)</f>
        <v>2154.6</v>
      </c>
      <c r="J278" s="13">
        <f>Sales_Data[[#This Row],[Sales Amount]] - Sales_Data[[#This Row],[Targets]]</f>
        <v>6546</v>
      </c>
    </row>
    <row r="279" spans="1:10">
      <c r="A279" s="5">
        <v>44440</v>
      </c>
      <c r="B279" s="4" t="s">
        <v>77</v>
      </c>
      <c r="C279" s="4" t="s">
        <v>78</v>
      </c>
      <c r="D279" s="4" t="s">
        <v>79</v>
      </c>
      <c r="E279" s="4" t="s">
        <v>2</v>
      </c>
      <c r="F279" s="6">
        <v>31186.6</v>
      </c>
      <c r="G279" s="4" t="s">
        <v>27</v>
      </c>
      <c r="H279" s="9">
        <v>15000</v>
      </c>
      <c r="I279" s="8" cm="1">
        <f t="array" ref="I279">IF(F279 &gt;= H279,F279 * commission, 0)</f>
        <v>3118.66</v>
      </c>
      <c r="J279" s="13">
        <f>Sales_Data[[#This Row],[Sales Amount]] - Sales_Data[[#This Row],[Targets]]</f>
        <v>16186.599999999999</v>
      </c>
    </row>
    <row r="280" spans="1:10">
      <c r="A280" s="5">
        <v>44440</v>
      </c>
      <c r="B280" s="4" t="s">
        <v>35</v>
      </c>
      <c r="C280" s="4" t="s">
        <v>36</v>
      </c>
      <c r="D280" s="4" t="s">
        <v>37</v>
      </c>
      <c r="E280" s="4" t="s">
        <v>2</v>
      </c>
      <c r="F280" s="6">
        <v>31999.200000000001</v>
      </c>
      <c r="G280" s="4" t="s">
        <v>22</v>
      </c>
      <c r="H280" s="9">
        <v>15000</v>
      </c>
      <c r="I280" s="8" cm="1">
        <f t="array" ref="I280">IF(F280 &gt;= H280,F280 * commission, 0)</f>
        <v>3199.92</v>
      </c>
      <c r="J280" s="13">
        <f>Sales_Data[[#This Row],[Sales Amount]] - Sales_Data[[#This Row],[Targets]]</f>
        <v>16999.2</v>
      </c>
    </row>
    <row r="281" spans="1:10">
      <c r="A281" s="5">
        <v>44440</v>
      </c>
      <c r="B281" s="4" t="s">
        <v>77</v>
      </c>
      <c r="C281" s="4" t="s">
        <v>78</v>
      </c>
      <c r="D281" s="4" t="s">
        <v>79</v>
      </c>
      <c r="E281" s="4" t="s">
        <v>2</v>
      </c>
      <c r="F281" s="6">
        <v>37520</v>
      </c>
      <c r="G281" s="4" t="s">
        <v>22</v>
      </c>
      <c r="H281" s="9">
        <v>15000</v>
      </c>
      <c r="I281" s="8" cm="1">
        <f t="array" ref="I281">IF(F281 &gt;= H281,F281 * commission, 0)</f>
        <v>3752</v>
      </c>
      <c r="J281" s="13">
        <f>Sales_Data[[#This Row],[Sales Amount]] - Sales_Data[[#This Row],[Targets]]</f>
        <v>22520</v>
      </c>
    </row>
    <row r="282" spans="1:10">
      <c r="A282" s="5">
        <v>44440</v>
      </c>
      <c r="B282" s="4" t="s">
        <v>77</v>
      </c>
      <c r="C282" s="4" t="s">
        <v>78</v>
      </c>
      <c r="D282" s="4" t="s">
        <v>79</v>
      </c>
      <c r="E282" s="4" t="s">
        <v>2</v>
      </c>
      <c r="F282" s="6">
        <v>41215.299999999996</v>
      </c>
      <c r="G282" s="4" t="s">
        <v>28</v>
      </c>
      <c r="H282" s="9">
        <v>15000</v>
      </c>
      <c r="I282" s="8" cm="1">
        <f t="array" ref="I282">IF(F282 &gt;= H282,F282 * commission, 0)</f>
        <v>4121.53</v>
      </c>
      <c r="J282" s="13">
        <f>Sales_Data[[#This Row],[Sales Amount]] - Sales_Data[[#This Row],[Targets]]</f>
        <v>26215.299999999996</v>
      </c>
    </row>
    <row r="283" spans="1:10">
      <c r="A283" s="5">
        <v>44440</v>
      </c>
      <c r="B283" s="4" t="s">
        <v>50</v>
      </c>
      <c r="C283" s="4" t="s">
        <v>51</v>
      </c>
      <c r="D283" s="4" t="s">
        <v>52</v>
      </c>
      <c r="E283" s="4" t="s">
        <v>3</v>
      </c>
      <c r="F283" s="6">
        <v>7008</v>
      </c>
      <c r="G283" s="4" t="s">
        <v>28</v>
      </c>
      <c r="H283" s="9">
        <v>15000</v>
      </c>
      <c r="I283" s="8" cm="1">
        <f t="array" ref="I283">IF(F283 &gt;= H283,F283 * commission, 0)</f>
        <v>0</v>
      </c>
      <c r="J283" s="13">
        <f>Sales_Data[[#This Row],[Sales Amount]] - Sales_Data[[#This Row],[Targets]]</f>
        <v>-7992</v>
      </c>
    </row>
    <row r="284" spans="1:10">
      <c r="A284" s="5">
        <v>44440</v>
      </c>
      <c r="B284" s="4" t="s">
        <v>41</v>
      </c>
      <c r="C284" s="4" t="s">
        <v>42</v>
      </c>
      <c r="D284" s="4" t="s">
        <v>43</v>
      </c>
      <c r="E284" s="4" t="s">
        <v>3</v>
      </c>
      <c r="F284" s="6">
        <v>8099.6999999999989</v>
      </c>
      <c r="G284" s="4" t="s">
        <v>27</v>
      </c>
      <c r="H284" s="9">
        <v>15000</v>
      </c>
      <c r="I284" s="8" cm="1">
        <f t="array" ref="I284">IF(F284 &gt;= H284,F284 * commission, 0)</f>
        <v>0</v>
      </c>
      <c r="J284" s="13">
        <f>Sales_Data[[#This Row],[Sales Amount]] - Sales_Data[[#This Row],[Targets]]</f>
        <v>-6900.3000000000011</v>
      </c>
    </row>
    <row r="285" spans="1:10">
      <c r="A285" s="5">
        <v>44440</v>
      </c>
      <c r="B285" s="4" t="s">
        <v>47</v>
      </c>
      <c r="C285" s="4" t="s">
        <v>48</v>
      </c>
      <c r="D285" s="4" t="s">
        <v>49</v>
      </c>
      <c r="E285" s="4" t="s">
        <v>3</v>
      </c>
      <c r="F285" s="6">
        <v>9840</v>
      </c>
      <c r="G285" s="4" t="s">
        <v>22</v>
      </c>
      <c r="H285" s="9">
        <v>15000</v>
      </c>
      <c r="I285" s="8" cm="1">
        <f t="array" ref="I285">IF(F285 &gt;= H285,F285 * commission, 0)</f>
        <v>0</v>
      </c>
      <c r="J285" s="13">
        <f>Sales_Data[[#This Row],[Sales Amount]] - Sales_Data[[#This Row],[Targets]]</f>
        <v>-5160</v>
      </c>
    </row>
    <row r="286" spans="1:10">
      <c r="A286" s="5">
        <v>44440</v>
      </c>
      <c r="B286" s="4" t="s">
        <v>44</v>
      </c>
      <c r="C286" s="4" t="s">
        <v>45</v>
      </c>
      <c r="D286" s="4" t="s">
        <v>46</v>
      </c>
      <c r="E286" s="4" t="s">
        <v>3</v>
      </c>
      <c r="F286" s="6">
        <v>10218</v>
      </c>
      <c r="G286" s="4" t="s">
        <v>22</v>
      </c>
      <c r="H286" s="9">
        <v>15000</v>
      </c>
      <c r="I286" s="8" cm="1">
        <f t="array" ref="I286">IF(F286 &gt;= H286,F286 * commission, 0)</f>
        <v>0</v>
      </c>
      <c r="J286" s="13">
        <f>Sales_Data[[#This Row],[Sales Amount]] - Sales_Data[[#This Row],[Targets]]</f>
        <v>-4782</v>
      </c>
    </row>
    <row r="287" spans="1:10">
      <c r="A287" s="5">
        <v>44440</v>
      </c>
      <c r="B287" s="4" t="s">
        <v>47</v>
      </c>
      <c r="C287" s="4" t="s">
        <v>48</v>
      </c>
      <c r="D287" s="4" t="s">
        <v>49</v>
      </c>
      <c r="E287" s="4" t="s">
        <v>3</v>
      </c>
      <c r="F287" s="6">
        <v>14311.2</v>
      </c>
      <c r="G287" s="4" t="s">
        <v>27</v>
      </c>
      <c r="H287" s="9">
        <v>15000</v>
      </c>
      <c r="I287" s="8" cm="1">
        <f t="array" ref="I287">IF(F287 &gt;= H287,F287 * commission, 0)</f>
        <v>0</v>
      </c>
      <c r="J287" s="13">
        <f>Sales_Data[[#This Row],[Sales Amount]] - Sales_Data[[#This Row],[Targets]]</f>
        <v>-688.79999999999927</v>
      </c>
    </row>
    <row r="288" spans="1:10">
      <c r="A288" s="5">
        <v>44440</v>
      </c>
      <c r="B288" s="4" t="s">
        <v>47</v>
      </c>
      <c r="C288" s="4" t="s">
        <v>48</v>
      </c>
      <c r="D288" s="4" t="s">
        <v>49</v>
      </c>
      <c r="E288" s="4" t="s">
        <v>3</v>
      </c>
      <c r="F288" s="6">
        <v>14715.2</v>
      </c>
      <c r="G288" s="4" t="s">
        <v>22</v>
      </c>
      <c r="H288" s="9">
        <v>15000</v>
      </c>
      <c r="I288" s="8" cm="1">
        <f t="array" ref="I288">IF(F288 &gt;= H288,F288 * commission, 0)</f>
        <v>0</v>
      </c>
      <c r="J288" s="13">
        <f>Sales_Data[[#This Row],[Sales Amount]] - Sales_Data[[#This Row],[Targets]]</f>
        <v>-284.79999999999927</v>
      </c>
    </row>
    <row r="289" spans="1:10">
      <c r="A289" s="5">
        <v>44440</v>
      </c>
      <c r="B289" s="4" t="s">
        <v>71</v>
      </c>
      <c r="C289" s="4" t="s">
        <v>72</v>
      </c>
      <c r="D289" s="4" t="s">
        <v>73</v>
      </c>
      <c r="E289" s="4" t="s">
        <v>3</v>
      </c>
      <c r="F289" s="6">
        <v>19147.8</v>
      </c>
      <c r="G289" s="4" t="s">
        <v>22</v>
      </c>
      <c r="H289" s="9">
        <v>15000</v>
      </c>
      <c r="I289" s="8" cm="1">
        <f t="array" ref="I289">IF(F289 &gt;= H289,F289 * commission, 0)</f>
        <v>1914.78</v>
      </c>
      <c r="J289" s="13">
        <f>Sales_Data[[#This Row],[Sales Amount]] - Sales_Data[[#This Row],[Targets]]</f>
        <v>4147.7999999999993</v>
      </c>
    </row>
    <row r="290" spans="1:10">
      <c r="A290" s="5">
        <v>44440</v>
      </c>
      <c r="B290" s="4" t="s">
        <v>47</v>
      </c>
      <c r="C290" s="4" t="s">
        <v>48</v>
      </c>
      <c r="D290" s="4" t="s">
        <v>49</v>
      </c>
      <c r="E290" s="4" t="s">
        <v>3</v>
      </c>
      <c r="F290" s="6">
        <v>20760.300000000003</v>
      </c>
      <c r="G290" s="4" t="s">
        <v>22</v>
      </c>
      <c r="H290" s="9">
        <v>15000</v>
      </c>
      <c r="I290" s="8" cm="1">
        <f t="array" ref="I290">IF(F290 &gt;= H290,F290 * commission, 0)</f>
        <v>2076.0300000000002</v>
      </c>
      <c r="J290" s="13">
        <f>Sales_Data[[#This Row],[Sales Amount]] - Sales_Data[[#This Row],[Targets]]</f>
        <v>5760.3000000000029</v>
      </c>
    </row>
    <row r="291" spans="1:10">
      <c r="A291" s="5">
        <v>44440</v>
      </c>
      <c r="B291" s="4" t="s">
        <v>71</v>
      </c>
      <c r="C291" s="4" t="s">
        <v>72</v>
      </c>
      <c r="D291" s="4" t="s">
        <v>73</v>
      </c>
      <c r="E291" s="4" t="s">
        <v>3</v>
      </c>
      <c r="F291" s="6">
        <v>24579.8</v>
      </c>
      <c r="G291" s="4" t="s">
        <v>27</v>
      </c>
      <c r="H291" s="9">
        <v>15000</v>
      </c>
      <c r="I291" s="8" cm="1">
        <f t="array" ref="I291">IF(F291 &gt;= H291,F291 * commission, 0)</f>
        <v>2457.98</v>
      </c>
      <c r="J291" s="13">
        <f>Sales_Data[[#This Row],[Sales Amount]] - Sales_Data[[#This Row],[Targets]]</f>
        <v>9579.7999999999993</v>
      </c>
    </row>
    <row r="292" spans="1:10">
      <c r="A292" s="5">
        <v>44440</v>
      </c>
      <c r="B292" s="4" t="s">
        <v>71</v>
      </c>
      <c r="C292" s="4" t="s">
        <v>72</v>
      </c>
      <c r="D292" s="4" t="s">
        <v>73</v>
      </c>
      <c r="E292" s="4" t="s">
        <v>3</v>
      </c>
      <c r="F292" s="6">
        <v>25946.300000000003</v>
      </c>
      <c r="G292" s="4" t="s">
        <v>28</v>
      </c>
      <c r="H292" s="9">
        <v>15000</v>
      </c>
      <c r="I292" s="8" cm="1">
        <f t="array" ref="I292">IF(F292 &gt;= H292,F292 * commission, 0)</f>
        <v>2594.6300000000006</v>
      </c>
      <c r="J292" s="13">
        <f>Sales_Data[[#This Row],[Sales Amount]] - Sales_Data[[#This Row],[Targets]]</f>
        <v>10946.300000000003</v>
      </c>
    </row>
    <row r="293" spans="1:10">
      <c r="A293" s="5">
        <v>44440</v>
      </c>
      <c r="B293" s="4" t="s">
        <v>41</v>
      </c>
      <c r="C293" s="4" t="s">
        <v>42</v>
      </c>
      <c r="D293" s="4" t="s">
        <v>43</v>
      </c>
      <c r="E293" s="4" t="s">
        <v>3</v>
      </c>
      <c r="F293" s="6">
        <v>30367.999999999996</v>
      </c>
      <c r="G293" s="4" t="s">
        <v>22</v>
      </c>
      <c r="H293" s="9">
        <v>15000</v>
      </c>
      <c r="I293" s="8" cm="1">
        <f t="array" ref="I293">IF(F293 &gt;= H293,F293 * commission, 0)</f>
        <v>3036.7999999999997</v>
      </c>
      <c r="J293" s="13">
        <f>Sales_Data[[#This Row],[Sales Amount]] - Sales_Data[[#This Row],[Targets]]</f>
        <v>15367.999999999996</v>
      </c>
    </row>
    <row r="294" spans="1:10">
      <c r="A294" s="5">
        <v>44440</v>
      </c>
      <c r="B294" s="4" t="s">
        <v>50</v>
      </c>
      <c r="C294" s="4" t="s">
        <v>51</v>
      </c>
      <c r="D294" s="4" t="s">
        <v>52</v>
      </c>
      <c r="E294" s="4" t="s">
        <v>3</v>
      </c>
      <c r="F294" s="6">
        <v>35640</v>
      </c>
      <c r="G294" s="4" t="s">
        <v>27</v>
      </c>
      <c r="H294" s="9">
        <v>15000</v>
      </c>
      <c r="I294" s="8" cm="1">
        <f t="array" ref="I294">IF(F294 &gt;= H294,F294 * commission, 0)</f>
        <v>3564</v>
      </c>
      <c r="J294" s="13">
        <f>Sales_Data[[#This Row],[Sales Amount]] - Sales_Data[[#This Row],[Targets]]</f>
        <v>20640</v>
      </c>
    </row>
    <row r="295" spans="1:10">
      <c r="A295" s="5">
        <v>44440</v>
      </c>
      <c r="B295" s="4" t="s">
        <v>74</v>
      </c>
      <c r="C295" s="4" t="s">
        <v>75</v>
      </c>
      <c r="D295" s="4" t="s">
        <v>76</v>
      </c>
      <c r="E295" s="4" t="s">
        <v>5</v>
      </c>
      <c r="F295" s="6">
        <v>7714</v>
      </c>
      <c r="G295" s="4" t="s">
        <v>27</v>
      </c>
      <c r="H295" s="9">
        <v>15000</v>
      </c>
      <c r="I295" s="8" cm="1">
        <f t="array" ref="I295">IF(F295 &gt;= H295,F295 * commission, 0)</f>
        <v>0</v>
      </c>
      <c r="J295" s="13">
        <f>Sales_Data[[#This Row],[Sales Amount]] - Sales_Data[[#This Row],[Targets]]</f>
        <v>-7286</v>
      </c>
    </row>
    <row r="296" spans="1:10">
      <c r="A296" s="5">
        <v>44440</v>
      </c>
      <c r="B296" s="4" t="s">
        <v>53</v>
      </c>
      <c r="C296" s="4" t="s">
        <v>54</v>
      </c>
      <c r="D296" s="4" t="s">
        <v>55</v>
      </c>
      <c r="E296" s="4" t="s">
        <v>5</v>
      </c>
      <c r="F296" s="6">
        <v>15152.399999999998</v>
      </c>
      <c r="G296" s="4" t="s">
        <v>28</v>
      </c>
      <c r="H296" s="9">
        <v>15000</v>
      </c>
      <c r="I296" s="8" cm="1">
        <f t="array" ref="I296">IF(F296 &gt;= H296,F296 * commission, 0)</f>
        <v>1515.2399999999998</v>
      </c>
      <c r="J296" s="13">
        <f>Sales_Data[[#This Row],[Sales Amount]] - Sales_Data[[#This Row],[Targets]]</f>
        <v>152.39999999999782</v>
      </c>
    </row>
    <row r="297" spans="1:10">
      <c r="A297" s="5">
        <v>44440</v>
      </c>
      <c r="B297" s="4" t="s">
        <v>56</v>
      </c>
      <c r="C297" s="4" t="s">
        <v>57</v>
      </c>
      <c r="D297" s="4" t="s">
        <v>58</v>
      </c>
      <c r="E297" s="4" t="s">
        <v>5</v>
      </c>
      <c r="F297" s="6">
        <v>16363.900000000001</v>
      </c>
      <c r="G297" s="4" t="s">
        <v>27</v>
      </c>
      <c r="H297" s="9">
        <v>15000</v>
      </c>
      <c r="I297" s="8" cm="1">
        <f t="array" ref="I297">IF(F297 &gt;= H297,F297 * commission, 0)</f>
        <v>1636.3900000000003</v>
      </c>
      <c r="J297" s="13">
        <f>Sales_Data[[#This Row],[Sales Amount]] - Sales_Data[[#This Row],[Targets]]</f>
        <v>1363.9000000000015</v>
      </c>
    </row>
    <row r="298" spans="1:10">
      <c r="A298" s="5">
        <v>44470</v>
      </c>
      <c r="B298" s="4" t="s">
        <v>65</v>
      </c>
      <c r="C298" s="4" t="s">
        <v>66</v>
      </c>
      <c r="D298" s="4" t="s">
        <v>67</v>
      </c>
      <c r="E298" s="4" t="s">
        <v>4</v>
      </c>
      <c r="F298" s="6">
        <v>3243.6000000000004</v>
      </c>
      <c r="G298" s="4" t="s">
        <v>27</v>
      </c>
      <c r="H298" s="9">
        <v>15000</v>
      </c>
      <c r="I298" s="8" cm="1">
        <f t="array" ref="I298">IF(F298 &gt;= H298,F298 * commission, 0)</f>
        <v>0</v>
      </c>
      <c r="J298" s="13">
        <f>Sales_Data[[#This Row],[Sales Amount]] - Sales_Data[[#This Row],[Targets]]</f>
        <v>-11756.4</v>
      </c>
    </row>
    <row r="299" spans="1:10">
      <c r="A299" s="5">
        <v>44470</v>
      </c>
      <c r="B299" s="4" t="s">
        <v>19</v>
      </c>
      <c r="C299" s="4" t="s">
        <v>20</v>
      </c>
      <c r="D299" s="4" t="s">
        <v>21</v>
      </c>
      <c r="E299" s="4" t="s">
        <v>4</v>
      </c>
      <c r="F299" s="6">
        <v>12633.599999999999</v>
      </c>
      <c r="G299" s="4" t="s">
        <v>22</v>
      </c>
      <c r="H299" s="9">
        <v>15000</v>
      </c>
      <c r="I299" s="8" cm="1">
        <f t="array" ref="I299">IF(F299 &gt;= H299,F299 * commission, 0)</f>
        <v>0</v>
      </c>
      <c r="J299" s="13">
        <f>Sales_Data[[#This Row],[Sales Amount]] - Sales_Data[[#This Row],[Targets]]</f>
        <v>-2366.4000000000015</v>
      </c>
    </row>
    <row r="300" spans="1:10">
      <c r="A300" s="5">
        <v>44470</v>
      </c>
      <c r="B300" s="4" t="s">
        <v>65</v>
      </c>
      <c r="C300" s="4" t="s">
        <v>66</v>
      </c>
      <c r="D300" s="4" t="s">
        <v>67</v>
      </c>
      <c r="E300" s="4" t="s">
        <v>4</v>
      </c>
      <c r="F300" s="6">
        <v>12806.399999999998</v>
      </c>
      <c r="G300" s="4" t="s">
        <v>28</v>
      </c>
      <c r="H300" s="9">
        <v>15000</v>
      </c>
      <c r="I300" s="8" cm="1">
        <f t="array" ref="I300">IF(F300 &gt;= H300,F300 * commission, 0)</f>
        <v>0</v>
      </c>
      <c r="J300" s="13">
        <f>Sales_Data[[#This Row],[Sales Amount]] - Sales_Data[[#This Row],[Targets]]</f>
        <v>-2193.6000000000022</v>
      </c>
    </row>
    <row r="301" spans="1:10">
      <c r="A301" s="5">
        <v>44470</v>
      </c>
      <c r="B301" s="4" t="s">
        <v>32</v>
      </c>
      <c r="C301" s="4" t="s">
        <v>33</v>
      </c>
      <c r="D301" s="4" t="s">
        <v>34</v>
      </c>
      <c r="E301" s="4" t="s">
        <v>4</v>
      </c>
      <c r="F301" s="6">
        <v>20031.199999999997</v>
      </c>
      <c r="G301" s="4" t="s">
        <v>28</v>
      </c>
      <c r="H301" s="9">
        <v>15000</v>
      </c>
      <c r="I301" s="8" cm="1">
        <f t="array" ref="I301">IF(F301 &gt;= H301,F301 * commission, 0)</f>
        <v>2003.12</v>
      </c>
      <c r="J301" s="13">
        <f>Sales_Data[[#This Row],[Sales Amount]] - Sales_Data[[#This Row],[Targets]]</f>
        <v>5031.1999999999971</v>
      </c>
    </row>
    <row r="302" spans="1:10">
      <c r="A302" s="5">
        <v>44470</v>
      </c>
      <c r="B302" s="4" t="s">
        <v>29</v>
      </c>
      <c r="C302" s="4" t="s">
        <v>30</v>
      </c>
      <c r="D302" s="4" t="s">
        <v>31</v>
      </c>
      <c r="E302" s="4" t="s">
        <v>4</v>
      </c>
      <c r="F302" s="6">
        <v>21485.200000000001</v>
      </c>
      <c r="G302" s="4" t="s">
        <v>22</v>
      </c>
      <c r="H302" s="9">
        <v>15000</v>
      </c>
      <c r="I302" s="8" cm="1">
        <f t="array" ref="I302">IF(F302 &gt;= H302,F302 * commission, 0)</f>
        <v>2148.52</v>
      </c>
      <c r="J302" s="13">
        <f>Sales_Data[[#This Row],[Sales Amount]] - Sales_Data[[#This Row],[Targets]]</f>
        <v>6485.2000000000007</v>
      </c>
    </row>
    <row r="303" spans="1:10">
      <c r="A303" s="5">
        <v>44470</v>
      </c>
      <c r="B303" s="4" t="s">
        <v>24</v>
      </c>
      <c r="C303" s="4" t="s">
        <v>25</v>
      </c>
      <c r="D303" s="4" t="s">
        <v>26</v>
      </c>
      <c r="E303" s="4" t="s">
        <v>4</v>
      </c>
      <c r="F303" s="6">
        <v>22607.200000000004</v>
      </c>
      <c r="G303" s="4" t="s">
        <v>27</v>
      </c>
      <c r="H303" s="9">
        <v>15000</v>
      </c>
      <c r="I303" s="8" cm="1">
        <f t="array" ref="I303">IF(F303 &gt;= H303,F303 * commission, 0)</f>
        <v>2260.7200000000007</v>
      </c>
      <c r="J303" s="13">
        <f>Sales_Data[[#This Row],[Sales Amount]] - Sales_Data[[#This Row],[Targets]]</f>
        <v>7607.2000000000044</v>
      </c>
    </row>
    <row r="304" spans="1:10">
      <c r="A304" s="5">
        <v>44470</v>
      </c>
      <c r="B304" s="4" t="s">
        <v>35</v>
      </c>
      <c r="C304" s="4" t="s">
        <v>36</v>
      </c>
      <c r="D304" s="4" t="s">
        <v>37</v>
      </c>
      <c r="E304" s="4" t="s">
        <v>2</v>
      </c>
      <c r="F304" s="6">
        <v>3035.1</v>
      </c>
      <c r="G304" s="4" t="s">
        <v>22</v>
      </c>
      <c r="H304" s="9">
        <v>15000</v>
      </c>
      <c r="I304" s="8" cm="1">
        <f t="array" ref="I304">IF(F304 &gt;= H304,F304 * commission, 0)</f>
        <v>0</v>
      </c>
      <c r="J304" s="13">
        <f>Sales_Data[[#This Row],[Sales Amount]] - Sales_Data[[#This Row],[Targets]]</f>
        <v>-11964.9</v>
      </c>
    </row>
    <row r="305" spans="1:10">
      <c r="A305" s="5">
        <v>44470</v>
      </c>
      <c r="B305" s="4" t="s">
        <v>77</v>
      </c>
      <c r="C305" s="4" t="s">
        <v>78</v>
      </c>
      <c r="D305" s="4" t="s">
        <v>79</v>
      </c>
      <c r="E305" s="4" t="s">
        <v>2</v>
      </c>
      <c r="F305" s="6">
        <v>6688</v>
      </c>
      <c r="G305" s="4" t="s">
        <v>22</v>
      </c>
      <c r="H305" s="9">
        <v>15000</v>
      </c>
      <c r="I305" s="8" cm="1">
        <f t="array" ref="I305">IF(F305 &gt;= H305,F305 * commission, 0)</f>
        <v>0</v>
      </c>
      <c r="J305" s="13">
        <f>Sales_Data[[#This Row],[Sales Amount]] - Sales_Data[[#This Row],[Targets]]</f>
        <v>-8312</v>
      </c>
    </row>
    <row r="306" spans="1:10">
      <c r="A306" s="5">
        <v>44470</v>
      </c>
      <c r="B306" s="4" t="s">
        <v>35</v>
      </c>
      <c r="C306" s="4" t="s">
        <v>36</v>
      </c>
      <c r="D306" s="4" t="s">
        <v>37</v>
      </c>
      <c r="E306" s="4" t="s">
        <v>2</v>
      </c>
      <c r="F306" s="6">
        <v>7024.2</v>
      </c>
      <c r="G306" s="4" t="s">
        <v>28</v>
      </c>
      <c r="H306" s="9">
        <v>15000</v>
      </c>
      <c r="I306" s="8" cm="1">
        <f t="array" ref="I306">IF(F306 &gt;= H306,F306 * commission, 0)</f>
        <v>0</v>
      </c>
      <c r="J306" s="13">
        <f>Sales_Data[[#This Row],[Sales Amount]] - Sales_Data[[#This Row],[Targets]]</f>
        <v>-7975.8</v>
      </c>
    </row>
    <row r="307" spans="1:10">
      <c r="A307" s="5">
        <v>44470</v>
      </c>
      <c r="B307" s="4" t="s">
        <v>77</v>
      </c>
      <c r="C307" s="4" t="s">
        <v>78</v>
      </c>
      <c r="D307" s="4" t="s">
        <v>79</v>
      </c>
      <c r="E307" s="4" t="s">
        <v>2</v>
      </c>
      <c r="F307" s="6">
        <v>7139.0000000000009</v>
      </c>
      <c r="G307" s="4" t="s">
        <v>27</v>
      </c>
      <c r="H307" s="9">
        <v>15000</v>
      </c>
      <c r="I307" s="8" cm="1">
        <f t="array" ref="I307">IF(F307 &gt;= H307,F307 * commission, 0)</f>
        <v>0</v>
      </c>
      <c r="J307" s="13">
        <f>Sales_Data[[#This Row],[Sales Amount]] - Sales_Data[[#This Row],[Targets]]</f>
        <v>-7860.9999999999991</v>
      </c>
    </row>
    <row r="308" spans="1:10">
      <c r="A308" s="5">
        <v>44470</v>
      </c>
      <c r="B308" s="4" t="s">
        <v>80</v>
      </c>
      <c r="C308" s="4" t="s">
        <v>81</v>
      </c>
      <c r="D308" s="4" t="s">
        <v>82</v>
      </c>
      <c r="E308" s="4" t="s">
        <v>2</v>
      </c>
      <c r="F308" s="6">
        <v>10948</v>
      </c>
      <c r="G308" s="4" t="s">
        <v>22</v>
      </c>
      <c r="H308" s="9">
        <v>15000</v>
      </c>
      <c r="I308" s="8" cm="1">
        <f t="array" ref="I308">IF(F308 &gt;= H308,F308 * commission, 0)</f>
        <v>0</v>
      </c>
      <c r="J308" s="13">
        <f>Sales_Data[[#This Row],[Sales Amount]] - Sales_Data[[#This Row],[Targets]]</f>
        <v>-4052</v>
      </c>
    </row>
    <row r="309" spans="1:10">
      <c r="A309" s="5">
        <v>44470</v>
      </c>
      <c r="B309" s="4" t="s">
        <v>80</v>
      </c>
      <c r="C309" s="4" t="s">
        <v>81</v>
      </c>
      <c r="D309" s="4" t="s">
        <v>82</v>
      </c>
      <c r="E309" s="4" t="s">
        <v>2</v>
      </c>
      <c r="F309" s="6">
        <v>10988.800000000001</v>
      </c>
      <c r="G309" s="4" t="s">
        <v>27</v>
      </c>
      <c r="H309" s="9">
        <v>15000</v>
      </c>
      <c r="I309" s="8" cm="1">
        <f t="array" ref="I309">IF(F309 &gt;= H309,F309 * commission, 0)</f>
        <v>0</v>
      </c>
      <c r="J309" s="13">
        <f>Sales_Data[[#This Row],[Sales Amount]] - Sales_Data[[#This Row],[Targets]]</f>
        <v>-4011.1999999999989</v>
      </c>
    </row>
    <row r="310" spans="1:10">
      <c r="A310" s="5">
        <v>44470</v>
      </c>
      <c r="B310" s="4" t="s">
        <v>80</v>
      </c>
      <c r="C310" s="4" t="s">
        <v>81</v>
      </c>
      <c r="D310" s="4" t="s">
        <v>82</v>
      </c>
      <c r="E310" s="4" t="s">
        <v>2</v>
      </c>
      <c r="F310" s="6">
        <v>12306.6</v>
      </c>
      <c r="G310" s="4" t="s">
        <v>22</v>
      </c>
      <c r="H310" s="9">
        <v>15000</v>
      </c>
      <c r="I310" s="8" cm="1">
        <f t="array" ref="I310">IF(F310 &gt;= H310,F310 * commission, 0)</f>
        <v>0</v>
      </c>
      <c r="J310" s="13">
        <f>Sales_Data[[#This Row],[Sales Amount]] - Sales_Data[[#This Row],[Targets]]</f>
        <v>-2693.3999999999996</v>
      </c>
    </row>
    <row r="311" spans="1:10">
      <c r="A311" s="5">
        <v>44470</v>
      </c>
      <c r="B311" s="4" t="s">
        <v>80</v>
      </c>
      <c r="C311" s="4" t="s">
        <v>81</v>
      </c>
      <c r="D311" s="4" t="s">
        <v>82</v>
      </c>
      <c r="E311" s="4" t="s">
        <v>2</v>
      </c>
      <c r="F311" s="6">
        <v>16077</v>
      </c>
      <c r="G311" s="4" t="s">
        <v>22</v>
      </c>
      <c r="H311" s="9">
        <v>15000</v>
      </c>
      <c r="I311" s="8" cm="1">
        <f t="array" ref="I311">IF(F311 &gt;= H311,F311 * commission, 0)</f>
        <v>1607.7</v>
      </c>
      <c r="J311" s="13">
        <f>Sales_Data[[#This Row],[Sales Amount]] - Sales_Data[[#This Row],[Targets]]</f>
        <v>1077</v>
      </c>
    </row>
    <row r="312" spans="1:10">
      <c r="A312" s="5">
        <v>44470</v>
      </c>
      <c r="B312" s="4" t="s">
        <v>38</v>
      </c>
      <c r="C312" s="4" t="s">
        <v>39</v>
      </c>
      <c r="D312" s="4" t="s">
        <v>40</v>
      </c>
      <c r="E312" s="4" t="s">
        <v>2</v>
      </c>
      <c r="F312" s="6">
        <v>19594</v>
      </c>
      <c r="G312" s="4" t="s">
        <v>22</v>
      </c>
      <c r="H312" s="9">
        <v>15000</v>
      </c>
      <c r="I312" s="8" cm="1">
        <f t="array" ref="I312">IF(F312 &gt;= H312,F312 * commission, 0)</f>
        <v>1959.4</v>
      </c>
      <c r="J312" s="13">
        <f>Sales_Data[[#This Row],[Sales Amount]] - Sales_Data[[#This Row],[Targets]]</f>
        <v>4594</v>
      </c>
    </row>
    <row r="313" spans="1:10">
      <c r="A313" s="5">
        <v>44470</v>
      </c>
      <c r="B313" s="4" t="s">
        <v>35</v>
      </c>
      <c r="C313" s="4" t="s">
        <v>36</v>
      </c>
      <c r="D313" s="4" t="s">
        <v>37</v>
      </c>
      <c r="E313" s="4" t="s">
        <v>2</v>
      </c>
      <c r="F313" s="6">
        <v>19946.199999999997</v>
      </c>
      <c r="G313" s="4" t="s">
        <v>28</v>
      </c>
      <c r="H313" s="9">
        <v>15000</v>
      </c>
      <c r="I313" s="8" cm="1">
        <f t="array" ref="I313">IF(F313 &gt;= H313,F313 * commission, 0)</f>
        <v>1994.62</v>
      </c>
      <c r="J313" s="13">
        <f>Sales_Data[[#This Row],[Sales Amount]] - Sales_Data[[#This Row],[Targets]]</f>
        <v>4946.1999999999971</v>
      </c>
    </row>
    <row r="314" spans="1:10">
      <c r="A314" s="5">
        <v>44470</v>
      </c>
      <c r="B314" s="4" t="s">
        <v>68</v>
      </c>
      <c r="C314" s="4" t="s">
        <v>69</v>
      </c>
      <c r="D314" s="4" t="s">
        <v>70</v>
      </c>
      <c r="E314" s="4" t="s">
        <v>2</v>
      </c>
      <c r="F314" s="6">
        <v>26773.4</v>
      </c>
      <c r="G314" s="4" t="s">
        <v>28</v>
      </c>
      <c r="H314" s="9">
        <v>15000</v>
      </c>
      <c r="I314" s="8" cm="1">
        <f t="array" ref="I314">IF(F314 &gt;= H314,F314 * commission, 0)</f>
        <v>2677.34</v>
      </c>
      <c r="J314" s="13">
        <f>Sales_Data[[#This Row],[Sales Amount]] - Sales_Data[[#This Row],[Targets]]</f>
        <v>11773.400000000001</v>
      </c>
    </row>
    <row r="315" spans="1:10">
      <c r="A315" s="5">
        <v>44470</v>
      </c>
      <c r="B315" s="4" t="s">
        <v>80</v>
      </c>
      <c r="C315" s="4" t="s">
        <v>81</v>
      </c>
      <c r="D315" s="4" t="s">
        <v>82</v>
      </c>
      <c r="E315" s="4" t="s">
        <v>2</v>
      </c>
      <c r="F315" s="6">
        <v>28464.9</v>
      </c>
      <c r="G315" s="4" t="s">
        <v>28</v>
      </c>
      <c r="H315" s="9">
        <v>15000</v>
      </c>
      <c r="I315" s="8" cm="1">
        <f t="array" ref="I315">IF(F315 &gt;= H315,F315 * commission, 0)</f>
        <v>2846.4900000000002</v>
      </c>
      <c r="J315" s="13">
        <f>Sales_Data[[#This Row],[Sales Amount]] - Sales_Data[[#This Row],[Targets]]</f>
        <v>13464.900000000001</v>
      </c>
    </row>
    <row r="316" spans="1:10">
      <c r="A316" s="5">
        <v>44470</v>
      </c>
      <c r="B316" s="4" t="s">
        <v>77</v>
      </c>
      <c r="C316" s="4" t="s">
        <v>78</v>
      </c>
      <c r="D316" s="4" t="s">
        <v>79</v>
      </c>
      <c r="E316" s="4" t="s">
        <v>2</v>
      </c>
      <c r="F316" s="6">
        <v>37544.800000000003</v>
      </c>
      <c r="G316" s="4" t="s">
        <v>27</v>
      </c>
      <c r="H316" s="9">
        <v>15000</v>
      </c>
      <c r="I316" s="8" cm="1">
        <f t="array" ref="I316">IF(F316 &gt;= H316,F316 * commission, 0)</f>
        <v>3754.4800000000005</v>
      </c>
      <c r="J316" s="13">
        <f>Sales_Data[[#This Row],[Sales Amount]] - Sales_Data[[#This Row],[Targets]]</f>
        <v>22544.800000000003</v>
      </c>
    </row>
    <row r="317" spans="1:10">
      <c r="A317" s="5">
        <v>44470</v>
      </c>
      <c r="B317" s="4" t="s">
        <v>80</v>
      </c>
      <c r="C317" s="4" t="s">
        <v>81</v>
      </c>
      <c r="D317" s="4" t="s">
        <v>82</v>
      </c>
      <c r="E317" s="4" t="s">
        <v>2</v>
      </c>
      <c r="F317" s="6">
        <v>40224.800000000003</v>
      </c>
      <c r="G317" s="4" t="s">
        <v>27</v>
      </c>
      <c r="H317" s="9">
        <v>15000</v>
      </c>
      <c r="I317" s="8" cm="1">
        <f t="array" ref="I317">IF(F317 &gt;= H317,F317 * commission, 0)</f>
        <v>4022.4800000000005</v>
      </c>
      <c r="J317" s="13">
        <f>Sales_Data[[#This Row],[Sales Amount]] - Sales_Data[[#This Row],[Targets]]</f>
        <v>25224.800000000003</v>
      </c>
    </row>
    <row r="318" spans="1:10">
      <c r="A318" s="5">
        <v>44470</v>
      </c>
      <c r="B318" s="4" t="s">
        <v>38</v>
      </c>
      <c r="C318" s="4" t="s">
        <v>39</v>
      </c>
      <c r="D318" s="4" t="s">
        <v>40</v>
      </c>
      <c r="E318" s="4" t="s">
        <v>2</v>
      </c>
      <c r="F318" s="6">
        <v>43591.8</v>
      </c>
      <c r="G318" s="4" t="s">
        <v>27</v>
      </c>
      <c r="H318" s="9">
        <v>15000</v>
      </c>
      <c r="I318" s="8" cm="1">
        <f t="array" ref="I318">IF(F318 &gt;= H318,F318 * commission, 0)</f>
        <v>4359.18</v>
      </c>
      <c r="J318" s="13">
        <f>Sales_Data[[#This Row],[Sales Amount]] - Sales_Data[[#This Row],[Targets]]</f>
        <v>28591.800000000003</v>
      </c>
    </row>
    <row r="319" spans="1:10">
      <c r="A319" s="5">
        <v>44470</v>
      </c>
      <c r="B319" s="4" t="s">
        <v>44</v>
      </c>
      <c r="C319" s="4" t="s">
        <v>45</v>
      </c>
      <c r="D319" s="4" t="s">
        <v>46</v>
      </c>
      <c r="E319" s="4" t="s">
        <v>3</v>
      </c>
      <c r="F319" s="6">
        <v>4201.6000000000004</v>
      </c>
      <c r="G319" s="4" t="s">
        <v>22</v>
      </c>
      <c r="H319" s="9">
        <v>15000</v>
      </c>
      <c r="I319" s="8" cm="1">
        <f t="array" ref="I319">IF(F319 &gt;= H319,F319 * commission, 0)</f>
        <v>0</v>
      </c>
      <c r="J319" s="13">
        <f>Sales_Data[[#This Row],[Sales Amount]] - Sales_Data[[#This Row],[Targets]]</f>
        <v>-10798.4</v>
      </c>
    </row>
    <row r="320" spans="1:10">
      <c r="A320" s="5">
        <v>44470</v>
      </c>
      <c r="B320" s="4" t="s">
        <v>41</v>
      </c>
      <c r="C320" s="4" t="s">
        <v>42</v>
      </c>
      <c r="D320" s="4" t="s">
        <v>43</v>
      </c>
      <c r="E320" s="4" t="s">
        <v>3</v>
      </c>
      <c r="F320" s="6">
        <v>15262.8</v>
      </c>
      <c r="G320" s="4" t="s">
        <v>28</v>
      </c>
      <c r="H320" s="9">
        <v>15000</v>
      </c>
      <c r="I320" s="8" cm="1">
        <f t="array" ref="I320">IF(F320 &gt;= H320,F320 * commission, 0)</f>
        <v>1526.28</v>
      </c>
      <c r="J320" s="13">
        <f>Sales_Data[[#This Row],[Sales Amount]] - Sales_Data[[#This Row],[Targets]]</f>
        <v>262.79999999999927</v>
      </c>
    </row>
    <row r="321" spans="1:10">
      <c r="A321" s="5">
        <v>44470</v>
      </c>
      <c r="B321" s="4" t="s">
        <v>71</v>
      </c>
      <c r="C321" s="4" t="s">
        <v>72</v>
      </c>
      <c r="D321" s="4" t="s">
        <v>73</v>
      </c>
      <c r="E321" s="4" t="s">
        <v>3</v>
      </c>
      <c r="F321" s="6">
        <v>20790</v>
      </c>
      <c r="G321" s="4" t="s">
        <v>22</v>
      </c>
      <c r="H321" s="9">
        <v>15000</v>
      </c>
      <c r="I321" s="8" cm="1">
        <f t="array" ref="I321">IF(F321 &gt;= H321,F321 * commission, 0)</f>
        <v>2079</v>
      </c>
      <c r="J321" s="13">
        <f>Sales_Data[[#This Row],[Sales Amount]] - Sales_Data[[#This Row],[Targets]]</f>
        <v>5790</v>
      </c>
    </row>
    <row r="322" spans="1:10">
      <c r="A322" s="5">
        <v>44470</v>
      </c>
      <c r="B322" s="4" t="s">
        <v>44</v>
      </c>
      <c r="C322" s="4" t="s">
        <v>45</v>
      </c>
      <c r="D322" s="4" t="s">
        <v>46</v>
      </c>
      <c r="E322" s="4" t="s">
        <v>3</v>
      </c>
      <c r="F322" s="6">
        <v>21878.5</v>
      </c>
      <c r="G322" s="4" t="s">
        <v>27</v>
      </c>
      <c r="H322" s="9">
        <v>15000</v>
      </c>
      <c r="I322" s="8" cm="1">
        <f t="array" ref="I322">IF(F322 &gt;= H322,F322 * commission, 0)</f>
        <v>2187.85</v>
      </c>
      <c r="J322" s="13">
        <f>Sales_Data[[#This Row],[Sales Amount]] - Sales_Data[[#This Row],[Targets]]</f>
        <v>6878.5</v>
      </c>
    </row>
    <row r="323" spans="1:10">
      <c r="A323" s="5">
        <v>44470</v>
      </c>
      <c r="B323" s="4" t="s">
        <v>71</v>
      </c>
      <c r="C323" s="4" t="s">
        <v>72</v>
      </c>
      <c r="D323" s="4" t="s">
        <v>73</v>
      </c>
      <c r="E323" s="4" t="s">
        <v>3</v>
      </c>
      <c r="F323" s="6">
        <v>22136.800000000003</v>
      </c>
      <c r="G323" s="4" t="s">
        <v>27</v>
      </c>
      <c r="H323" s="9">
        <v>15000</v>
      </c>
      <c r="I323" s="8" cm="1">
        <f t="array" ref="I323">IF(F323 &gt;= H323,F323 * commission, 0)</f>
        <v>2213.6800000000003</v>
      </c>
      <c r="J323" s="13">
        <f>Sales_Data[[#This Row],[Sales Amount]] - Sales_Data[[#This Row],[Targets]]</f>
        <v>7136.8000000000029</v>
      </c>
    </row>
    <row r="324" spans="1:10">
      <c r="A324" s="5">
        <v>44470</v>
      </c>
      <c r="B324" s="4" t="s">
        <v>71</v>
      </c>
      <c r="C324" s="4" t="s">
        <v>72</v>
      </c>
      <c r="D324" s="4" t="s">
        <v>73</v>
      </c>
      <c r="E324" s="4" t="s">
        <v>3</v>
      </c>
      <c r="F324" s="6">
        <v>23240.400000000001</v>
      </c>
      <c r="G324" s="4" t="s">
        <v>22</v>
      </c>
      <c r="H324" s="9">
        <v>15000</v>
      </c>
      <c r="I324" s="8" cm="1">
        <f t="array" ref="I324">IF(F324 &gt;= H324,F324 * commission, 0)</f>
        <v>2324.0400000000004</v>
      </c>
      <c r="J324" s="13">
        <f>Sales_Data[[#This Row],[Sales Amount]] - Sales_Data[[#This Row],[Targets]]</f>
        <v>8240.4000000000015</v>
      </c>
    </row>
    <row r="325" spans="1:10">
      <c r="A325" s="5">
        <v>44470</v>
      </c>
      <c r="B325" s="4" t="s">
        <v>44</v>
      </c>
      <c r="C325" s="4" t="s">
        <v>45</v>
      </c>
      <c r="D325" s="4" t="s">
        <v>46</v>
      </c>
      <c r="E325" s="4" t="s">
        <v>3</v>
      </c>
      <c r="F325" s="6">
        <v>41989.599999999999</v>
      </c>
      <c r="G325" s="4" t="s">
        <v>27</v>
      </c>
      <c r="H325" s="9">
        <v>15000</v>
      </c>
      <c r="I325" s="8" cm="1">
        <f t="array" ref="I325">IF(F325 &gt;= H325,F325 * commission, 0)</f>
        <v>4198.96</v>
      </c>
      <c r="J325" s="13">
        <f>Sales_Data[[#This Row],[Sales Amount]] - Sales_Data[[#This Row],[Targets]]</f>
        <v>26989.599999999999</v>
      </c>
    </row>
    <row r="326" spans="1:10">
      <c r="A326" s="5">
        <v>44470</v>
      </c>
      <c r="B326" s="4" t="s">
        <v>53</v>
      </c>
      <c r="C326" s="4" t="s">
        <v>54</v>
      </c>
      <c r="D326" s="4" t="s">
        <v>55</v>
      </c>
      <c r="E326" s="4" t="s">
        <v>5</v>
      </c>
      <c r="F326" s="6">
        <v>2997.2</v>
      </c>
      <c r="G326" s="4" t="s">
        <v>27</v>
      </c>
      <c r="H326" s="9">
        <v>15000</v>
      </c>
      <c r="I326" s="8" cm="1">
        <f t="array" ref="I326">IF(F326 &gt;= H326,F326 * commission, 0)</f>
        <v>0</v>
      </c>
      <c r="J326" s="13">
        <f>Sales_Data[[#This Row],[Sales Amount]] - Sales_Data[[#This Row],[Targets]]</f>
        <v>-12002.8</v>
      </c>
    </row>
    <row r="327" spans="1:10">
      <c r="A327" s="5">
        <v>44470</v>
      </c>
      <c r="B327" s="4" t="s">
        <v>74</v>
      </c>
      <c r="C327" s="4" t="s">
        <v>75</v>
      </c>
      <c r="D327" s="4" t="s">
        <v>76</v>
      </c>
      <c r="E327" s="4" t="s">
        <v>5</v>
      </c>
      <c r="F327" s="6">
        <v>7195.9999999999991</v>
      </c>
      <c r="G327" s="4" t="s">
        <v>22</v>
      </c>
      <c r="H327" s="9">
        <v>15000</v>
      </c>
      <c r="I327" s="8" cm="1">
        <f t="array" ref="I327">IF(F327 &gt;= H327,F327 * commission, 0)</f>
        <v>0</v>
      </c>
      <c r="J327" s="13">
        <f>Sales_Data[[#This Row],[Sales Amount]] - Sales_Data[[#This Row],[Targets]]</f>
        <v>-7804.0000000000009</v>
      </c>
    </row>
    <row r="328" spans="1:10">
      <c r="A328" s="5">
        <v>44470</v>
      </c>
      <c r="B328" s="4" t="s">
        <v>59</v>
      </c>
      <c r="C328" s="4" t="s">
        <v>60</v>
      </c>
      <c r="D328" s="4" t="s">
        <v>61</v>
      </c>
      <c r="E328" s="4" t="s">
        <v>5</v>
      </c>
      <c r="F328" s="6">
        <v>10595.2</v>
      </c>
      <c r="G328" s="4" t="s">
        <v>28</v>
      </c>
      <c r="H328" s="9">
        <v>15000</v>
      </c>
      <c r="I328" s="8" cm="1">
        <f t="array" ref="I328">IF(F328 &gt;= H328,F328 * commission, 0)</f>
        <v>0</v>
      </c>
      <c r="J328" s="13">
        <f>Sales_Data[[#This Row],[Sales Amount]] - Sales_Data[[#This Row],[Targets]]</f>
        <v>-4404.7999999999993</v>
      </c>
    </row>
    <row r="329" spans="1:10">
      <c r="A329" s="5">
        <v>44470</v>
      </c>
      <c r="B329" s="4" t="s">
        <v>74</v>
      </c>
      <c r="C329" s="4" t="s">
        <v>75</v>
      </c>
      <c r="D329" s="4" t="s">
        <v>76</v>
      </c>
      <c r="E329" s="4" t="s">
        <v>5</v>
      </c>
      <c r="F329" s="6">
        <v>10694.7</v>
      </c>
      <c r="G329" s="4" t="s">
        <v>28</v>
      </c>
      <c r="H329" s="9">
        <v>15000</v>
      </c>
      <c r="I329" s="8" cm="1">
        <f t="array" ref="I329">IF(F329 &gt;= H329,F329 * commission, 0)</f>
        <v>0</v>
      </c>
      <c r="J329" s="13">
        <f>Sales_Data[[#This Row],[Sales Amount]] - Sales_Data[[#This Row],[Targets]]</f>
        <v>-4305.2999999999993</v>
      </c>
    </row>
    <row r="330" spans="1:10">
      <c r="A330" s="5">
        <v>44470</v>
      </c>
      <c r="B330" s="4" t="s">
        <v>59</v>
      </c>
      <c r="C330" s="4" t="s">
        <v>60</v>
      </c>
      <c r="D330" s="4" t="s">
        <v>61</v>
      </c>
      <c r="E330" s="4" t="s">
        <v>5</v>
      </c>
      <c r="F330" s="6">
        <v>14235.4</v>
      </c>
      <c r="G330" s="4" t="s">
        <v>28</v>
      </c>
      <c r="H330" s="9">
        <v>15000</v>
      </c>
      <c r="I330" s="8" cm="1">
        <f t="array" ref="I330">IF(F330 &gt;= H330,F330 * commission, 0)</f>
        <v>0</v>
      </c>
      <c r="J330" s="13">
        <f>Sales_Data[[#This Row],[Sales Amount]] - Sales_Data[[#This Row],[Targets]]</f>
        <v>-764.60000000000036</v>
      </c>
    </row>
    <row r="331" spans="1:10">
      <c r="A331" s="5">
        <v>44470</v>
      </c>
      <c r="B331" s="4" t="s">
        <v>59</v>
      </c>
      <c r="C331" s="4" t="s">
        <v>60</v>
      </c>
      <c r="D331" s="4" t="s">
        <v>61</v>
      </c>
      <c r="E331" s="4" t="s">
        <v>5</v>
      </c>
      <c r="F331" s="6">
        <v>36530.199999999997</v>
      </c>
      <c r="G331" s="4" t="s">
        <v>22</v>
      </c>
      <c r="H331" s="9">
        <v>15000</v>
      </c>
      <c r="I331" s="8" cm="1">
        <f t="array" ref="I331">IF(F331 &gt;= H331,F331 * commission, 0)</f>
        <v>3653.02</v>
      </c>
      <c r="J331" s="13">
        <f>Sales_Data[[#This Row],[Sales Amount]] - Sales_Data[[#This Row],[Targets]]</f>
        <v>21530.199999999997</v>
      </c>
    </row>
    <row r="332" spans="1:10">
      <c r="A332" s="5">
        <v>44470</v>
      </c>
      <c r="B332" s="4" t="s">
        <v>62</v>
      </c>
      <c r="C332" s="4" t="s">
        <v>63</v>
      </c>
      <c r="D332" s="4" t="s">
        <v>64</v>
      </c>
      <c r="E332" s="4" t="s">
        <v>5</v>
      </c>
      <c r="F332" s="6">
        <v>36896.199999999997</v>
      </c>
      <c r="G332" s="4" t="s">
        <v>28</v>
      </c>
      <c r="H332" s="9">
        <v>15000</v>
      </c>
      <c r="I332" s="8" cm="1">
        <f t="array" ref="I332">IF(F332 &gt;= H332,F332 * commission, 0)</f>
        <v>3689.62</v>
      </c>
      <c r="J332" s="13">
        <f>Sales_Data[[#This Row],[Sales Amount]] - Sales_Data[[#This Row],[Targets]]</f>
        <v>21896.199999999997</v>
      </c>
    </row>
    <row r="333" spans="1:10">
      <c r="A333" s="5">
        <v>44470</v>
      </c>
      <c r="B333" s="4" t="s">
        <v>53</v>
      </c>
      <c r="C333" s="4" t="s">
        <v>54</v>
      </c>
      <c r="D333" s="4" t="s">
        <v>55</v>
      </c>
      <c r="E333" s="4" t="s">
        <v>5</v>
      </c>
      <c r="F333" s="6">
        <v>41420.699999999997</v>
      </c>
      <c r="G333" s="4" t="s">
        <v>27</v>
      </c>
      <c r="H333" s="9">
        <v>15000</v>
      </c>
      <c r="I333" s="8" cm="1">
        <f t="array" ref="I333">IF(F333 &gt;= H333,F333 * commission, 0)</f>
        <v>4142.07</v>
      </c>
      <c r="J333" s="13">
        <f>Sales_Data[[#This Row],[Sales Amount]] - Sales_Data[[#This Row],[Targets]]</f>
        <v>26420.699999999997</v>
      </c>
    </row>
    <row r="334" spans="1:10">
      <c r="A334" s="5">
        <v>44501</v>
      </c>
      <c r="B334" s="4" t="s">
        <v>32</v>
      </c>
      <c r="C334" s="4" t="s">
        <v>33</v>
      </c>
      <c r="D334" s="4" t="s">
        <v>34</v>
      </c>
      <c r="E334" s="4" t="s">
        <v>4</v>
      </c>
      <c r="F334" s="6">
        <v>5130</v>
      </c>
      <c r="G334" s="4" t="s">
        <v>22</v>
      </c>
      <c r="H334" s="9">
        <v>15000</v>
      </c>
      <c r="I334" s="8" cm="1">
        <f t="array" ref="I334">IF(F334 &gt;= H334,F334 * commission, 0)</f>
        <v>0</v>
      </c>
      <c r="J334" s="13">
        <f>Sales_Data[[#This Row],[Sales Amount]] - Sales_Data[[#This Row],[Targets]]</f>
        <v>-9870</v>
      </c>
    </row>
    <row r="335" spans="1:10">
      <c r="A335" s="5">
        <v>44501</v>
      </c>
      <c r="B335" s="4" t="s">
        <v>29</v>
      </c>
      <c r="C335" s="4" t="s">
        <v>30</v>
      </c>
      <c r="D335" s="4" t="s">
        <v>31</v>
      </c>
      <c r="E335" s="4" t="s">
        <v>4</v>
      </c>
      <c r="F335" s="6">
        <v>8810.9</v>
      </c>
      <c r="G335" s="4" t="s">
        <v>27</v>
      </c>
      <c r="H335" s="9">
        <v>15000</v>
      </c>
      <c r="I335" s="8" cm="1">
        <f t="array" ref="I335">IF(F335 &gt;= H335,F335 * commission, 0)</f>
        <v>0</v>
      </c>
      <c r="J335" s="13">
        <f>Sales_Data[[#This Row],[Sales Amount]] - Sales_Data[[#This Row],[Targets]]</f>
        <v>-6189.1</v>
      </c>
    </row>
    <row r="336" spans="1:10">
      <c r="A336" s="5">
        <v>44501</v>
      </c>
      <c r="B336" s="4" t="s">
        <v>65</v>
      </c>
      <c r="C336" s="4" t="s">
        <v>66</v>
      </c>
      <c r="D336" s="4" t="s">
        <v>67</v>
      </c>
      <c r="E336" s="4" t="s">
        <v>4</v>
      </c>
      <c r="F336" s="6">
        <v>16606</v>
      </c>
      <c r="G336" s="4" t="s">
        <v>27</v>
      </c>
      <c r="H336" s="9">
        <v>15000</v>
      </c>
      <c r="I336" s="8" cm="1">
        <f t="array" ref="I336">IF(F336 &gt;= H336,F336 * commission, 0)</f>
        <v>1660.6000000000001</v>
      </c>
      <c r="J336" s="13">
        <f>Sales_Data[[#This Row],[Sales Amount]] - Sales_Data[[#This Row],[Targets]]</f>
        <v>1606</v>
      </c>
    </row>
    <row r="337" spans="1:10">
      <c r="A337" s="5">
        <v>44501</v>
      </c>
      <c r="B337" s="4" t="s">
        <v>32</v>
      </c>
      <c r="C337" s="4" t="s">
        <v>33</v>
      </c>
      <c r="D337" s="4" t="s">
        <v>34</v>
      </c>
      <c r="E337" s="4" t="s">
        <v>4</v>
      </c>
      <c r="F337" s="6">
        <v>17766</v>
      </c>
      <c r="G337" s="4" t="s">
        <v>27</v>
      </c>
      <c r="H337" s="9">
        <v>15000</v>
      </c>
      <c r="I337" s="8" cm="1">
        <f t="array" ref="I337">IF(F337 &gt;= H337,F337 * commission, 0)</f>
        <v>1776.6000000000001</v>
      </c>
      <c r="J337" s="13">
        <f>Sales_Data[[#This Row],[Sales Amount]] - Sales_Data[[#This Row],[Targets]]</f>
        <v>2766</v>
      </c>
    </row>
    <row r="338" spans="1:10">
      <c r="A338" s="5">
        <v>44501</v>
      </c>
      <c r="B338" s="4" t="s">
        <v>19</v>
      </c>
      <c r="C338" s="4" t="s">
        <v>20</v>
      </c>
      <c r="D338" s="4" t="s">
        <v>21</v>
      </c>
      <c r="E338" s="4" t="s">
        <v>4</v>
      </c>
      <c r="F338" s="6">
        <v>20916</v>
      </c>
      <c r="G338" s="4" t="s">
        <v>27</v>
      </c>
      <c r="H338" s="9">
        <v>15000</v>
      </c>
      <c r="I338" s="8" cm="1">
        <f t="array" ref="I338">IF(F338 &gt;= H338,F338 * commission, 0)</f>
        <v>2091.6</v>
      </c>
      <c r="J338" s="13">
        <f>Sales_Data[[#This Row],[Sales Amount]] - Sales_Data[[#This Row],[Targets]]</f>
        <v>5916</v>
      </c>
    </row>
    <row r="339" spans="1:10">
      <c r="A339" s="5">
        <v>44501</v>
      </c>
      <c r="B339" s="4" t="s">
        <v>19</v>
      </c>
      <c r="C339" s="4" t="s">
        <v>20</v>
      </c>
      <c r="D339" s="4" t="s">
        <v>21</v>
      </c>
      <c r="E339" s="4" t="s">
        <v>4</v>
      </c>
      <c r="F339" s="6">
        <v>22396.5</v>
      </c>
      <c r="G339" s="4" t="s">
        <v>28</v>
      </c>
      <c r="H339" s="9">
        <v>15000</v>
      </c>
      <c r="I339" s="8" cm="1">
        <f t="array" ref="I339">IF(F339 &gt;= H339,F339 * commission, 0)</f>
        <v>2239.65</v>
      </c>
      <c r="J339" s="13">
        <f>Sales_Data[[#This Row],[Sales Amount]] - Sales_Data[[#This Row],[Targets]]</f>
        <v>7396.5</v>
      </c>
    </row>
    <row r="340" spans="1:10">
      <c r="A340" s="5">
        <v>44501</v>
      </c>
      <c r="B340" s="4" t="s">
        <v>32</v>
      </c>
      <c r="C340" s="4" t="s">
        <v>33</v>
      </c>
      <c r="D340" s="4" t="s">
        <v>34</v>
      </c>
      <c r="E340" s="4" t="s">
        <v>4</v>
      </c>
      <c r="F340" s="6">
        <v>25633.5</v>
      </c>
      <c r="G340" s="4" t="s">
        <v>22</v>
      </c>
      <c r="H340" s="9">
        <v>15000</v>
      </c>
      <c r="I340" s="8" cm="1">
        <f t="array" ref="I340">IF(F340 &gt;= H340,F340 * commission, 0)</f>
        <v>2563.3500000000004</v>
      </c>
      <c r="J340" s="13">
        <f>Sales_Data[[#This Row],[Sales Amount]] - Sales_Data[[#This Row],[Targets]]</f>
        <v>10633.5</v>
      </c>
    </row>
    <row r="341" spans="1:10">
      <c r="A341" s="5">
        <v>44501</v>
      </c>
      <c r="B341" s="4" t="s">
        <v>19</v>
      </c>
      <c r="C341" s="4" t="s">
        <v>20</v>
      </c>
      <c r="D341" s="4" t="s">
        <v>21</v>
      </c>
      <c r="E341" s="4" t="s">
        <v>4</v>
      </c>
      <c r="F341" s="6">
        <v>37374.399999999994</v>
      </c>
      <c r="G341" s="4" t="s">
        <v>28</v>
      </c>
      <c r="H341" s="9">
        <v>15000</v>
      </c>
      <c r="I341" s="8" cm="1">
        <f t="array" ref="I341">IF(F341 &gt;= H341,F341 * commission, 0)</f>
        <v>3737.4399999999996</v>
      </c>
      <c r="J341" s="13">
        <f>Sales_Data[[#This Row],[Sales Amount]] - Sales_Data[[#This Row],[Targets]]</f>
        <v>22374.399999999994</v>
      </c>
    </row>
    <row r="342" spans="1:10">
      <c r="A342" s="5">
        <v>44501</v>
      </c>
      <c r="B342" s="4" t="s">
        <v>68</v>
      </c>
      <c r="C342" s="4" t="s">
        <v>69</v>
      </c>
      <c r="D342" s="4" t="s">
        <v>70</v>
      </c>
      <c r="E342" s="4" t="s">
        <v>2</v>
      </c>
      <c r="F342" s="6">
        <v>9292.5</v>
      </c>
      <c r="G342" s="4" t="s">
        <v>22</v>
      </c>
      <c r="H342" s="9">
        <v>15000</v>
      </c>
      <c r="I342" s="8" cm="1">
        <f t="array" ref="I342">IF(F342 &gt;= H342,F342 * commission, 0)</f>
        <v>0</v>
      </c>
      <c r="J342" s="13">
        <f>Sales_Data[[#This Row],[Sales Amount]] - Sales_Data[[#This Row],[Targets]]</f>
        <v>-5707.5</v>
      </c>
    </row>
    <row r="343" spans="1:10">
      <c r="A343" s="5">
        <v>44501</v>
      </c>
      <c r="B343" s="4" t="s">
        <v>38</v>
      </c>
      <c r="C343" s="4" t="s">
        <v>39</v>
      </c>
      <c r="D343" s="4" t="s">
        <v>40</v>
      </c>
      <c r="E343" s="4" t="s">
        <v>2</v>
      </c>
      <c r="F343" s="6">
        <v>28761.599999999999</v>
      </c>
      <c r="G343" s="4" t="s">
        <v>28</v>
      </c>
      <c r="H343" s="9">
        <v>15000</v>
      </c>
      <c r="I343" s="8" cm="1">
        <f t="array" ref="I343">IF(F343 &gt;= H343,F343 * commission, 0)</f>
        <v>2876.16</v>
      </c>
      <c r="J343" s="13">
        <f>Sales_Data[[#This Row],[Sales Amount]] - Sales_Data[[#This Row],[Targets]]</f>
        <v>13761.599999999999</v>
      </c>
    </row>
    <row r="344" spans="1:10">
      <c r="A344" s="5">
        <v>44501</v>
      </c>
      <c r="B344" s="4" t="s">
        <v>80</v>
      </c>
      <c r="C344" s="4" t="s">
        <v>81</v>
      </c>
      <c r="D344" s="4" t="s">
        <v>82</v>
      </c>
      <c r="E344" s="4" t="s">
        <v>2</v>
      </c>
      <c r="F344" s="6">
        <v>41932.799999999996</v>
      </c>
      <c r="G344" s="4" t="s">
        <v>27</v>
      </c>
      <c r="H344" s="9">
        <v>15000</v>
      </c>
      <c r="I344" s="8" cm="1">
        <f t="array" ref="I344">IF(F344 &gt;= H344,F344 * commission, 0)</f>
        <v>4193.28</v>
      </c>
      <c r="J344" s="13">
        <f>Sales_Data[[#This Row],[Sales Amount]] - Sales_Data[[#This Row],[Targets]]</f>
        <v>26932.799999999996</v>
      </c>
    </row>
    <row r="345" spans="1:10">
      <c r="A345" s="5">
        <v>44501</v>
      </c>
      <c r="B345" s="4" t="s">
        <v>35</v>
      </c>
      <c r="C345" s="4" t="s">
        <v>36</v>
      </c>
      <c r="D345" s="4" t="s">
        <v>37</v>
      </c>
      <c r="E345" s="4" t="s">
        <v>2</v>
      </c>
      <c r="F345" s="6">
        <v>42427</v>
      </c>
      <c r="G345" s="4" t="s">
        <v>22</v>
      </c>
      <c r="H345" s="9">
        <v>15000</v>
      </c>
      <c r="I345" s="8" cm="1">
        <f t="array" ref="I345">IF(F345 &gt;= H345,F345 * commission, 0)</f>
        <v>4242.7</v>
      </c>
      <c r="J345" s="13">
        <f>Sales_Data[[#This Row],[Sales Amount]] - Sales_Data[[#This Row],[Targets]]</f>
        <v>27427</v>
      </c>
    </row>
    <row r="346" spans="1:10">
      <c r="A346" s="5">
        <v>44501</v>
      </c>
      <c r="B346" s="4" t="s">
        <v>68</v>
      </c>
      <c r="C346" s="4" t="s">
        <v>69</v>
      </c>
      <c r="D346" s="4" t="s">
        <v>70</v>
      </c>
      <c r="E346" s="4" t="s">
        <v>2</v>
      </c>
      <c r="F346" s="6">
        <v>47510.400000000001</v>
      </c>
      <c r="G346" s="4" t="s">
        <v>22</v>
      </c>
      <c r="H346" s="9">
        <v>15000</v>
      </c>
      <c r="I346" s="8" cm="1">
        <f t="array" ref="I346">IF(F346 &gt;= H346,F346 * commission, 0)</f>
        <v>4751.04</v>
      </c>
      <c r="J346" s="13">
        <f>Sales_Data[[#This Row],[Sales Amount]] - Sales_Data[[#This Row],[Targets]]</f>
        <v>32510.400000000001</v>
      </c>
    </row>
    <row r="347" spans="1:10">
      <c r="A347" s="5">
        <v>44501</v>
      </c>
      <c r="B347" s="4" t="s">
        <v>47</v>
      </c>
      <c r="C347" s="4" t="s">
        <v>48</v>
      </c>
      <c r="D347" s="4" t="s">
        <v>49</v>
      </c>
      <c r="E347" s="4" t="s">
        <v>3</v>
      </c>
      <c r="F347" s="6">
        <v>9006</v>
      </c>
      <c r="G347" s="4" t="s">
        <v>28</v>
      </c>
      <c r="H347" s="9">
        <v>15000</v>
      </c>
      <c r="I347" s="8" cm="1">
        <f t="array" ref="I347">IF(F347 &gt;= H347,F347 * commission, 0)</f>
        <v>0</v>
      </c>
      <c r="J347" s="13">
        <f>Sales_Data[[#This Row],[Sales Amount]] - Sales_Data[[#This Row],[Targets]]</f>
        <v>-5994</v>
      </c>
    </row>
    <row r="348" spans="1:10">
      <c r="A348" s="5">
        <v>44501</v>
      </c>
      <c r="B348" s="4" t="s">
        <v>44</v>
      </c>
      <c r="C348" s="4" t="s">
        <v>45</v>
      </c>
      <c r="D348" s="4" t="s">
        <v>46</v>
      </c>
      <c r="E348" s="4" t="s">
        <v>3</v>
      </c>
      <c r="F348" s="6">
        <v>10573.5</v>
      </c>
      <c r="G348" s="4" t="s">
        <v>27</v>
      </c>
      <c r="H348" s="9">
        <v>15000</v>
      </c>
      <c r="I348" s="8" cm="1">
        <f t="array" ref="I348">IF(F348 &gt;= H348,F348 * commission, 0)</f>
        <v>0</v>
      </c>
      <c r="J348" s="13">
        <f>Sales_Data[[#This Row],[Sales Amount]] - Sales_Data[[#This Row],[Targets]]</f>
        <v>-4426.5</v>
      </c>
    </row>
    <row r="349" spans="1:10">
      <c r="A349" s="5">
        <v>44501</v>
      </c>
      <c r="B349" s="4" t="s">
        <v>50</v>
      </c>
      <c r="C349" s="4" t="s">
        <v>51</v>
      </c>
      <c r="D349" s="4" t="s">
        <v>52</v>
      </c>
      <c r="E349" s="4" t="s">
        <v>3</v>
      </c>
      <c r="F349" s="6">
        <v>13230</v>
      </c>
      <c r="G349" s="4" t="s">
        <v>22</v>
      </c>
      <c r="H349" s="9">
        <v>15000</v>
      </c>
      <c r="I349" s="8" cm="1">
        <f t="array" ref="I349">IF(F349 &gt;= H349,F349 * commission, 0)</f>
        <v>0</v>
      </c>
      <c r="J349" s="13">
        <f>Sales_Data[[#This Row],[Sales Amount]] - Sales_Data[[#This Row],[Targets]]</f>
        <v>-1770</v>
      </c>
    </row>
    <row r="350" spans="1:10">
      <c r="A350" s="5">
        <v>44501</v>
      </c>
      <c r="B350" s="4" t="s">
        <v>41</v>
      </c>
      <c r="C350" s="4" t="s">
        <v>42</v>
      </c>
      <c r="D350" s="4" t="s">
        <v>43</v>
      </c>
      <c r="E350" s="4" t="s">
        <v>3</v>
      </c>
      <c r="F350" s="6">
        <v>15403.600000000002</v>
      </c>
      <c r="G350" s="4" t="s">
        <v>22</v>
      </c>
      <c r="H350" s="9">
        <v>15000</v>
      </c>
      <c r="I350" s="8" cm="1">
        <f t="array" ref="I350">IF(F350 &gt;= H350,F350 * commission, 0)</f>
        <v>1540.3600000000004</v>
      </c>
      <c r="J350" s="13">
        <f>Sales_Data[[#This Row],[Sales Amount]] - Sales_Data[[#This Row],[Targets]]</f>
        <v>403.60000000000218</v>
      </c>
    </row>
    <row r="351" spans="1:10">
      <c r="A351" s="5">
        <v>44501</v>
      </c>
      <c r="B351" s="4" t="s">
        <v>47</v>
      </c>
      <c r="C351" s="4" t="s">
        <v>48</v>
      </c>
      <c r="D351" s="4" t="s">
        <v>49</v>
      </c>
      <c r="E351" s="4" t="s">
        <v>3</v>
      </c>
      <c r="F351" s="6">
        <v>16394.399999999998</v>
      </c>
      <c r="G351" s="4" t="s">
        <v>22</v>
      </c>
      <c r="H351" s="9">
        <v>15000</v>
      </c>
      <c r="I351" s="8" cm="1">
        <f t="array" ref="I351">IF(F351 &gt;= H351,F351 * commission, 0)</f>
        <v>1639.4399999999998</v>
      </c>
      <c r="J351" s="13">
        <f>Sales_Data[[#This Row],[Sales Amount]] - Sales_Data[[#This Row],[Targets]]</f>
        <v>1394.3999999999978</v>
      </c>
    </row>
    <row r="352" spans="1:10">
      <c r="A352" s="5">
        <v>44501</v>
      </c>
      <c r="B352" s="4" t="s">
        <v>47</v>
      </c>
      <c r="C352" s="4" t="s">
        <v>48</v>
      </c>
      <c r="D352" s="4" t="s">
        <v>49</v>
      </c>
      <c r="E352" s="4" t="s">
        <v>3</v>
      </c>
      <c r="F352" s="6">
        <v>16606</v>
      </c>
      <c r="G352" s="4" t="s">
        <v>28</v>
      </c>
      <c r="H352" s="9">
        <v>15000</v>
      </c>
      <c r="I352" s="8" cm="1">
        <f t="array" ref="I352">IF(F352 &gt;= H352,F352 * commission, 0)</f>
        <v>1660.6000000000001</v>
      </c>
      <c r="J352" s="13">
        <f>Sales_Data[[#This Row],[Sales Amount]] - Sales_Data[[#This Row],[Targets]]</f>
        <v>1606</v>
      </c>
    </row>
    <row r="353" spans="1:10">
      <c r="A353" s="5">
        <v>44501</v>
      </c>
      <c r="B353" s="4" t="s">
        <v>41</v>
      </c>
      <c r="C353" s="4" t="s">
        <v>42</v>
      </c>
      <c r="D353" s="4" t="s">
        <v>43</v>
      </c>
      <c r="E353" s="4" t="s">
        <v>3</v>
      </c>
      <c r="F353" s="6">
        <v>18452.599999999999</v>
      </c>
      <c r="G353" s="4" t="s">
        <v>28</v>
      </c>
      <c r="H353" s="9">
        <v>15000</v>
      </c>
      <c r="I353" s="8" cm="1">
        <f t="array" ref="I353">IF(F353 &gt;= H353,F353 * commission, 0)</f>
        <v>1845.26</v>
      </c>
      <c r="J353" s="13">
        <f>Sales_Data[[#This Row],[Sales Amount]] - Sales_Data[[#This Row],[Targets]]</f>
        <v>3452.5999999999985</v>
      </c>
    </row>
    <row r="354" spans="1:10">
      <c r="A354" s="5">
        <v>44501</v>
      </c>
      <c r="B354" s="4" t="s">
        <v>44</v>
      </c>
      <c r="C354" s="4" t="s">
        <v>45</v>
      </c>
      <c r="D354" s="4" t="s">
        <v>46</v>
      </c>
      <c r="E354" s="4" t="s">
        <v>3</v>
      </c>
      <c r="F354" s="6">
        <v>20062.5</v>
      </c>
      <c r="G354" s="4" t="s">
        <v>27</v>
      </c>
      <c r="H354" s="9">
        <v>15000</v>
      </c>
      <c r="I354" s="8" cm="1">
        <f t="array" ref="I354">IF(F354 &gt;= H354,F354 * commission, 0)</f>
        <v>2006.25</v>
      </c>
      <c r="J354" s="13">
        <f>Sales_Data[[#This Row],[Sales Amount]] - Sales_Data[[#This Row],[Targets]]</f>
        <v>5062.5</v>
      </c>
    </row>
    <row r="355" spans="1:10">
      <c r="A355" s="5">
        <v>44501</v>
      </c>
      <c r="B355" s="4" t="s">
        <v>71</v>
      </c>
      <c r="C355" s="4" t="s">
        <v>72</v>
      </c>
      <c r="D355" s="4" t="s">
        <v>73</v>
      </c>
      <c r="E355" s="4" t="s">
        <v>3</v>
      </c>
      <c r="F355" s="6">
        <v>22900.499999999996</v>
      </c>
      <c r="G355" s="4" t="s">
        <v>27</v>
      </c>
      <c r="H355" s="9">
        <v>15000</v>
      </c>
      <c r="I355" s="8" cm="1">
        <f t="array" ref="I355">IF(F355 &gt;= H355,F355 * commission, 0)</f>
        <v>2290.0499999999997</v>
      </c>
      <c r="J355" s="13">
        <f>Sales_Data[[#This Row],[Sales Amount]] - Sales_Data[[#This Row],[Targets]]</f>
        <v>7900.4999999999964</v>
      </c>
    </row>
    <row r="356" spans="1:10">
      <c r="A356" s="5">
        <v>44501</v>
      </c>
      <c r="B356" s="4" t="s">
        <v>71</v>
      </c>
      <c r="C356" s="4" t="s">
        <v>72</v>
      </c>
      <c r="D356" s="4" t="s">
        <v>73</v>
      </c>
      <c r="E356" s="4" t="s">
        <v>3</v>
      </c>
      <c r="F356" s="6">
        <v>23057.999999999996</v>
      </c>
      <c r="G356" s="4" t="s">
        <v>28</v>
      </c>
      <c r="H356" s="9">
        <v>15000</v>
      </c>
      <c r="I356" s="8" cm="1">
        <f t="array" ref="I356">IF(F356 &gt;= H356,F356 * commission, 0)</f>
        <v>2305.7999999999997</v>
      </c>
      <c r="J356" s="13">
        <f>Sales_Data[[#This Row],[Sales Amount]] - Sales_Data[[#This Row],[Targets]]</f>
        <v>8057.9999999999964</v>
      </c>
    </row>
    <row r="357" spans="1:10">
      <c r="A357" s="5">
        <v>44501</v>
      </c>
      <c r="B357" s="4" t="s">
        <v>47</v>
      </c>
      <c r="C357" s="4" t="s">
        <v>48</v>
      </c>
      <c r="D357" s="4" t="s">
        <v>49</v>
      </c>
      <c r="E357" s="4" t="s">
        <v>3</v>
      </c>
      <c r="F357" s="6">
        <v>37560</v>
      </c>
      <c r="G357" s="4" t="s">
        <v>28</v>
      </c>
      <c r="H357" s="9">
        <v>15000</v>
      </c>
      <c r="I357" s="8" cm="1">
        <f t="array" ref="I357">IF(F357 &gt;= H357,F357 * commission, 0)</f>
        <v>3756</v>
      </c>
      <c r="J357" s="13">
        <f>Sales_Data[[#This Row],[Sales Amount]] - Sales_Data[[#This Row],[Targets]]</f>
        <v>22560</v>
      </c>
    </row>
    <row r="358" spans="1:10">
      <c r="A358" s="5">
        <v>44501</v>
      </c>
      <c r="B358" s="4" t="s">
        <v>44</v>
      </c>
      <c r="C358" s="4" t="s">
        <v>45</v>
      </c>
      <c r="D358" s="4" t="s">
        <v>46</v>
      </c>
      <c r="E358" s="4" t="s">
        <v>3</v>
      </c>
      <c r="F358" s="6">
        <v>38570</v>
      </c>
      <c r="G358" s="4" t="s">
        <v>27</v>
      </c>
      <c r="H358" s="9">
        <v>15000</v>
      </c>
      <c r="I358" s="8" cm="1">
        <f t="array" ref="I358">IF(F358 &gt;= H358,F358 * commission, 0)</f>
        <v>3857</v>
      </c>
      <c r="J358" s="13">
        <f>Sales_Data[[#This Row],[Sales Amount]] - Sales_Data[[#This Row],[Targets]]</f>
        <v>23570</v>
      </c>
    </row>
    <row r="359" spans="1:10">
      <c r="A359" s="5">
        <v>44501</v>
      </c>
      <c r="B359" s="4" t="s">
        <v>41</v>
      </c>
      <c r="C359" s="4" t="s">
        <v>42</v>
      </c>
      <c r="D359" s="4" t="s">
        <v>43</v>
      </c>
      <c r="E359" s="4" t="s">
        <v>3</v>
      </c>
      <c r="F359" s="6">
        <v>39199.599999999999</v>
      </c>
      <c r="G359" s="4" t="s">
        <v>28</v>
      </c>
      <c r="H359" s="9">
        <v>15000</v>
      </c>
      <c r="I359" s="8" cm="1">
        <f t="array" ref="I359">IF(F359 &gt;= H359,F359 * commission, 0)</f>
        <v>3919.96</v>
      </c>
      <c r="J359" s="13">
        <f>Sales_Data[[#This Row],[Sales Amount]] - Sales_Data[[#This Row],[Targets]]</f>
        <v>24199.599999999999</v>
      </c>
    </row>
    <row r="360" spans="1:10">
      <c r="A360" s="5">
        <v>44501</v>
      </c>
      <c r="B360" s="4" t="s">
        <v>59</v>
      </c>
      <c r="C360" s="4" t="s">
        <v>60</v>
      </c>
      <c r="D360" s="4" t="s">
        <v>61</v>
      </c>
      <c r="E360" s="4" t="s">
        <v>5</v>
      </c>
      <c r="F360" s="6">
        <v>6900</v>
      </c>
      <c r="G360" s="4" t="s">
        <v>22</v>
      </c>
      <c r="H360" s="9">
        <v>15000</v>
      </c>
      <c r="I360" s="8" cm="1">
        <f t="array" ref="I360">IF(F360 &gt;= H360,F360 * commission, 0)</f>
        <v>0</v>
      </c>
      <c r="J360" s="13">
        <f>Sales_Data[[#This Row],[Sales Amount]] - Sales_Data[[#This Row],[Targets]]</f>
        <v>-8100</v>
      </c>
    </row>
    <row r="361" spans="1:10">
      <c r="A361" s="5">
        <v>44501</v>
      </c>
      <c r="B361" s="4" t="s">
        <v>62</v>
      </c>
      <c r="C361" s="4" t="s">
        <v>63</v>
      </c>
      <c r="D361" s="4" t="s">
        <v>64</v>
      </c>
      <c r="E361" s="4" t="s">
        <v>5</v>
      </c>
      <c r="F361" s="6">
        <v>9683</v>
      </c>
      <c r="G361" s="4" t="s">
        <v>28</v>
      </c>
      <c r="H361" s="9">
        <v>15000</v>
      </c>
      <c r="I361" s="8" cm="1">
        <f t="array" ref="I361">IF(F361 &gt;= H361,F361 * commission, 0)</f>
        <v>0</v>
      </c>
      <c r="J361" s="13">
        <f>Sales_Data[[#This Row],[Sales Amount]] - Sales_Data[[#This Row],[Targets]]</f>
        <v>-5317</v>
      </c>
    </row>
    <row r="362" spans="1:10">
      <c r="A362" s="5">
        <v>44501</v>
      </c>
      <c r="B362" s="4" t="s">
        <v>56</v>
      </c>
      <c r="C362" s="4" t="s">
        <v>57</v>
      </c>
      <c r="D362" s="4" t="s">
        <v>58</v>
      </c>
      <c r="E362" s="4" t="s">
        <v>5</v>
      </c>
      <c r="F362" s="6">
        <v>14302.9</v>
      </c>
      <c r="G362" s="4" t="s">
        <v>27</v>
      </c>
      <c r="H362" s="9">
        <v>15000</v>
      </c>
      <c r="I362" s="8" cm="1">
        <f t="array" ref="I362">IF(F362 &gt;= H362,F362 * commission, 0)</f>
        <v>0</v>
      </c>
      <c r="J362" s="13">
        <f>Sales_Data[[#This Row],[Sales Amount]] - Sales_Data[[#This Row],[Targets]]</f>
        <v>-697.10000000000036</v>
      </c>
    </row>
    <row r="363" spans="1:10">
      <c r="A363" s="5">
        <v>44501</v>
      </c>
      <c r="B363" s="4" t="s">
        <v>53</v>
      </c>
      <c r="C363" s="4" t="s">
        <v>54</v>
      </c>
      <c r="D363" s="4" t="s">
        <v>55</v>
      </c>
      <c r="E363" s="4" t="s">
        <v>5</v>
      </c>
      <c r="F363" s="6">
        <v>16806.400000000001</v>
      </c>
      <c r="G363" s="4" t="s">
        <v>27</v>
      </c>
      <c r="H363" s="9">
        <v>15000</v>
      </c>
      <c r="I363" s="8" cm="1">
        <f t="array" ref="I363">IF(F363 &gt;= H363,F363 * commission, 0)</f>
        <v>1680.6400000000003</v>
      </c>
      <c r="J363" s="13">
        <f>Sales_Data[[#This Row],[Sales Amount]] - Sales_Data[[#This Row],[Targets]]</f>
        <v>1806.4000000000015</v>
      </c>
    </row>
    <row r="364" spans="1:10">
      <c r="A364" s="5">
        <v>44501</v>
      </c>
      <c r="B364" s="4" t="s">
        <v>74</v>
      </c>
      <c r="C364" s="4" t="s">
        <v>75</v>
      </c>
      <c r="D364" s="4" t="s">
        <v>76</v>
      </c>
      <c r="E364" s="4" t="s">
        <v>5</v>
      </c>
      <c r="F364" s="6">
        <v>20797.200000000004</v>
      </c>
      <c r="G364" s="4" t="s">
        <v>22</v>
      </c>
      <c r="H364" s="9">
        <v>15000</v>
      </c>
      <c r="I364" s="8" cm="1">
        <f t="array" ref="I364">IF(F364 &gt;= H364,F364 * commission, 0)</f>
        <v>2079.7200000000007</v>
      </c>
      <c r="J364" s="13">
        <f>Sales_Data[[#This Row],[Sales Amount]] - Sales_Data[[#This Row],[Targets]]</f>
        <v>5797.2000000000044</v>
      </c>
    </row>
    <row r="365" spans="1:10">
      <c r="A365" s="5">
        <v>44501</v>
      </c>
      <c r="B365" s="4" t="s">
        <v>62</v>
      </c>
      <c r="C365" s="4" t="s">
        <v>63</v>
      </c>
      <c r="D365" s="4" t="s">
        <v>64</v>
      </c>
      <c r="E365" s="4" t="s">
        <v>5</v>
      </c>
      <c r="F365" s="6">
        <v>26866</v>
      </c>
      <c r="G365" s="4" t="s">
        <v>28</v>
      </c>
      <c r="H365" s="9">
        <v>15000</v>
      </c>
      <c r="I365" s="8" cm="1">
        <f t="array" ref="I365">IF(F365 &gt;= H365,F365 * commission, 0)</f>
        <v>2686.6000000000004</v>
      </c>
      <c r="J365" s="13">
        <f>Sales_Data[[#This Row],[Sales Amount]] - Sales_Data[[#This Row],[Targets]]</f>
        <v>11866</v>
      </c>
    </row>
    <row r="366" spans="1:10">
      <c r="A366" s="5">
        <v>44531</v>
      </c>
      <c r="B366" s="4" t="s">
        <v>32</v>
      </c>
      <c r="C366" s="4" t="s">
        <v>33</v>
      </c>
      <c r="D366" s="4" t="s">
        <v>34</v>
      </c>
      <c r="E366" s="4" t="s">
        <v>4</v>
      </c>
      <c r="F366" s="6">
        <v>3817.9999999999995</v>
      </c>
      <c r="G366" s="4" t="s">
        <v>27</v>
      </c>
      <c r="H366" s="9">
        <v>15000</v>
      </c>
      <c r="I366" s="8" cm="1">
        <f t="array" ref="I366">IF(F366 &gt;= H366,F366 * commission, 0)</f>
        <v>0</v>
      </c>
      <c r="J366" s="13">
        <f>Sales_Data[[#This Row],[Sales Amount]] - Sales_Data[[#This Row],[Targets]]</f>
        <v>-11182</v>
      </c>
    </row>
    <row r="367" spans="1:10">
      <c r="A367" s="5">
        <v>44531</v>
      </c>
      <c r="B367" s="4" t="s">
        <v>19</v>
      </c>
      <c r="C367" s="4" t="s">
        <v>20</v>
      </c>
      <c r="D367" s="4" t="s">
        <v>21</v>
      </c>
      <c r="E367" s="4" t="s">
        <v>4</v>
      </c>
      <c r="F367" s="6">
        <v>8683.1999999999989</v>
      </c>
      <c r="G367" s="4" t="s">
        <v>22</v>
      </c>
      <c r="H367" s="9">
        <v>15000</v>
      </c>
      <c r="I367" s="8" cm="1">
        <f t="array" ref="I367">IF(F367 &gt;= H367,F367 * commission, 0)</f>
        <v>0</v>
      </c>
      <c r="J367" s="13">
        <f>Sales_Data[[#This Row],[Sales Amount]] - Sales_Data[[#This Row],[Targets]]</f>
        <v>-6316.8000000000011</v>
      </c>
    </row>
    <row r="368" spans="1:10">
      <c r="A368" s="5">
        <v>44531</v>
      </c>
      <c r="B368" s="4" t="s">
        <v>29</v>
      </c>
      <c r="C368" s="4" t="s">
        <v>30</v>
      </c>
      <c r="D368" s="4" t="s">
        <v>31</v>
      </c>
      <c r="E368" s="4" t="s">
        <v>4</v>
      </c>
      <c r="F368" s="6">
        <v>11210</v>
      </c>
      <c r="G368" s="4" t="s">
        <v>28</v>
      </c>
      <c r="H368" s="9">
        <v>15000</v>
      </c>
      <c r="I368" s="8" cm="1">
        <f t="array" ref="I368">IF(F368 &gt;= H368,F368 * commission, 0)</f>
        <v>0</v>
      </c>
      <c r="J368" s="13">
        <f>Sales_Data[[#This Row],[Sales Amount]] - Sales_Data[[#This Row],[Targets]]</f>
        <v>-3790</v>
      </c>
    </row>
    <row r="369" spans="1:10">
      <c r="A369" s="5">
        <v>44531</v>
      </c>
      <c r="B369" s="4" t="s">
        <v>65</v>
      </c>
      <c r="C369" s="4" t="s">
        <v>66</v>
      </c>
      <c r="D369" s="4" t="s">
        <v>67</v>
      </c>
      <c r="E369" s="4" t="s">
        <v>4</v>
      </c>
      <c r="F369" s="6">
        <v>12765.2</v>
      </c>
      <c r="G369" s="4" t="s">
        <v>28</v>
      </c>
      <c r="H369" s="9">
        <v>15000</v>
      </c>
      <c r="I369" s="8" cm="1">
        <f t="array" ref="I369">IF(F369 &gt;= H369,F369 * commission, 0)</f>
        <v>0</v>
      </c>
      <c r="J369" s="13">
        <f>Sales_Data[[#This Row],[Sales Amount]] - Sales_Data[[#This Row],[Targets]]</f>
        <v>-2234.7999999999993</v>
      </c>
    </row>
    <row r="370" spans="1:10">
      <c r="A370" s="5">
        <v>44531</v>
      </c>
      <c r="B370" s="4" t="s">
        <v>32</v>
      </c>
      <c r="C370" s="4" t="s">
        <v>33</v>
      </c>
      <c r="D370" s="4" t="s">
        <v>34</v>
      </c>
      <c r="E370" s="4" t="s">
        <v>4</v>
      </c>
      <c r="F370" s="6">
        <v>15921.999999999998</v>
      </c>
      <c r="G370" s="4" t="s">
        <v>28</v>
      </c>
      <c r="H370" s="9">
        <v>15000</v>
      </c>
      <c r="I370" s="8" cm="1">
        <f t="array" ref="I370">IF(F370 &gt;= H370,F370 * commission, 0)</f>
        <v>1592.1999999999998</v>
      </c>
      <c r="J370" s="13">
        <f>Sales_Data[[#This Row],[Sales Amount]] - Sales_Data[[#This Row],[Targets]]</f>
        <v>921.99999999999818</v>
      </c>
    </row>
    <row r="371" spans="1:10">
      <c r="A371" s="5">
        <v>44531</v>
      </c>
      <c r="B371" s="4" t="s">
        <v>65</v>
      </c>
      <c r="C371" s="4" t="s">
        <v>66</v>
      </c>
      <c r="D371" s="4" t="s">
        <v>67</v>
      </c>
      <c r="E371" s="4" t="s">
        <v>4</v>
      </c>
      <c r="F371" s="6">
        <v>31970.799999999999</v>
      </c>
      <c r="G371" s="4" t="s">
        <v>27</v>
      </c>
      <c r="H371" s="9">
        <v>15000</v>
      </c>
      <c r="I371" s="8" cm="1">
        <f t="array" ref="I371">IF(F371 &gt;= H371,F371 * commission, 0)</f>
        <v>3197.08</v>
      </c>
      <c r="J371" s="13">
        <f>Sales_Data[[#This Row],[Sales Amount]] - Sales_Data[[#This Row],[Targets]]</f>
        <v>16970.8</v>
      </c>
    </row>
    <row r="372" spans="1:10">
      <c r="A372" s="5">
        <v>44531</v>
      </c>
      <c r="B372" s="4" t="s">
        <v>29</v>
      </c>
      <c r="C372" s="4" t="s">
        <v>30</v>
      </c>
      <c r="D372" s="4" t="s">
        <v>31</v>
      </c>
      <c r="E372" s="4" t="s">
        <v>4</v>
      </c>
      <c r="F372" s="6">
        <v>41520</v>
      </c>
      <c r="G372" s="4" t="s">
        <v>27</v>
      </c>
      <c r="H372" s="9">
        <v>15000</v>
      </c>
      <c r="I372" s="8" cm="1">
        <f t="array" ref="I372">IF(F372 &gt;= H372,F372 * commission, 0)</f>
        <v>4152</v>
      </c>
      <c r="J372" s="13">
        <f>Sales_Data[[#This Row],[Sales Amount]] - Sales_Data[[#This Row],[Targets]]</f>
        <v>26520</v>
      </c>
    </row>
    <row r="373" spans="1:10">
      <c r="A373" s="5">
        <v>44531</v>
      </c>
      <c r="B373" s="4" t="s">
        <v>29</v>
      </c>
      <c r="C373" s="4" t="s">
        <v>30</v>
      </c>
      <c r="D373" s="4" t="s">
        <v>31</v>
      </c>
      <c r="E373" s="4" t="s">
        <v>4</v>
      </c>
      <c r="F373" s="6">
        <v>45800.999999999993</v>
      </c>
      <c r="G373" s="4" t="s">
        <v>22</v>
      </c>
      <c r="H373" s="9">
        <v>15000</v>
      </c>
      <c r="I373" s="8" cm="1">
        <f t="array" ref="I373">IF(F373 &gt;= H373,F373 * commission, 0)</f>
        <v>4580.0999999999995</v>
      </c>
      <c r="J373" s="13">
        <f>Sales_Data[[#This Row],[Sales Amount]] - Sales_Data[[#This Row],[Targets]]</f>
        <v>30800.999999999993</v>
      </c>
    </row>
    <row r="374" spans="1:10">
      <c r="A374" s="5">
        <v>44531</v>
      </c>
      <c r="B374" s="4" t="s">
        <v>38</v>
      </c>
      <c r="C374" s="4" t="s">
        <v>39</v>
      </c>
      <c r="D374" s="4" t="s">
        <v>40</v>
      </c>
      <c r="E374" s="4" t="s">
        <v>2</v>
      </c>
      <c r="F374" s="6">
        <v>7721.5999999999995</v>
      </c>
      <c r="G374" s="4" t="s">
        <v>27</v>
      </c>
      <c r="H374" s="9">
        <v>15000</v>
      </c>
      <c r="I374" s="8" cm="1">
        <f t="array" ref="I374">IF(F374 &gt;= H374,F374 * commission, 0)</f>
        <v>0</v>
      </c>
      <c r="J374" s="13">
        <f>Sales_Data[[#This Row],[Sales Amount]] - Sales_Data[[#This Row],[Targets]]</f>
        <v>-7278.4000000000005</v>
      </c>
    </row>
    <row r="375" spans="1:10">
      <c r="A375" s="5">
        <v>44531</v>
      </c>
      <c r="B375" s="4" t="s">
        <v>80</v>
      </c>
      <c r="C375" s="4" t="s">
        <v>81</v>
      </c>
      <c r="D375" s="4" t="s">
        <v>82</v>
      </c>
      <c r="E375" s="4" t="s">
        <v>2</v>
      </c>
      <c r="F375" s="6">
        <v>8925.7000000000007</v>
      </c>
      <c r="G375" s="4" t="s">
        <v>27</v>
      </c>
      <c r="H375" s="9">
        <v>15000</v>
      </c>
      <c r="I375" s="8" cm="1">
        <f t="array" ref="I375">IF(F375 &gt;= H375,F375 * commission, 0)</f>
        <v>0</v>
      </c>
      <c r="J375" s="13">
        <f>Sales_Data[[#This Row],[Sales Amount]] - Sales_Data[[#This Row],[Targets]]</f>
        <v>-6074.2999999999993</v>
      </c>
    </row>
    <row r="376" spans="1:10">
      <c r="A376" s="5">
        <v>44531</v>
      </c>
      <c r="B376" s="4" t="s">
        <v>80</v>
      </c>
      <c r="C376" s="4" t="s">
        <v>81</v>
      </c>
      <c r="D376" s="4" t="s">
        <v>82</v>
      </c>
      <c r="E376" s="4" t="s">
        <v>2</v>
      </c>
      <c r="F376" s="6">
        <v>15802.6</v>
      </c>
      <c r="G376" s="4" t="s">
        <v>28</v>
      </c>
      <c r="H376" s="9">
        <v>15000</v>
      </c>
      <c r="I376" s="8" cm="1">
        <f t="array" ref="I376">IF(F376 &gt;= H376,F376 * commission, 0)</f>
        <v>1580.2600000000002</v>
      </c>
      <c r="J376" s="13">
        <f>Sales_Data[[#This Row],[Sales Amount]] - Sales_Data[[#This Row],[Targets]]</f>
        <v>802.60000000000036</v>
      </c>
    </row>
    <row r="377" spans="1:10">
      <c r="A377" s="5">
        <v>44531</v>
      </c>
      <c r="B377" s="4" t="s">
        <v>68</v>
      </c>
      <c r="C377" s="4" t="s">
        <v>69</v>
      </c>
      <c r="D377" s="4" t="s">
        <v>70</v>
      </c>
      <c r="E377" s="4" t="s">
        <v>2</v>
      </c>
      <c r="F377" s="6">
        <v>21103.3</v>
      </c>
      <c r="G377" s="4" t="s">
        <v>28</v>
      </c>
      <c r="H377" s="9">
        <v>15000</v>
      </c>
      <c r="I377" s="8" cm="1">
        <f t="array" ref="I377">IF(F377 &gt;= H377,F377 * commission, 0)</f>
        <v>2110.33</v>
      </c>
      <c r="J377" s="13">
        <f>Sales_Data[[#This Row],[Sales Amount]] - Sales_Data[[#This Row],[Targets]]</f>
        <v>6103.2999999999993</v>
      </c>
    </row>
    <row r="378" spans="1:10">
      <c r="A378" s="5">
        <v>44531</v>
      </c>
      <c r="B378" s="4" t="s">
        <v>68</v>
      </c>
      <c r="C378" s="4" t="s">
        <v>69</v>
      </c>
      <c r="D378" s="4" t="s">
        <v>70</v>
      </c>
      <c r="E378" s="4" t="s">
        <v>2</v>
      </c>
      <c r="F378" s="6">
        <v>22351.100000000002</v>
      </c>
      <c r="G378" s="4" t="s">
        <v>28</v>
      </c>
      <c r="H378" s="9">
        <v>15000</v>
      </c>
      <c r="I378" s="8" cm="1">
        <f t="array" ref="I378">IF(F378 &gt;= H378,F378 * commission, 0)</f>
        <v>2235.11</v>
      </c>
      <c r="J378" s="13">
        <f>Sales_Data[[#This Row],[Sales Amount]] - Sales_Data[[#This Row],[Targets]]</f>
        <v>7351.1000000000022</v>
      </c>
    </row>
    <row r="379" spans="1:10">
      <c r="A379" s="5">
        <v>44531</v>
      </c>
      <c r="B379" s="4" t="s">
        <v>80</v>
      </c>
      <c r="C379" s="4" t="s">
        <v>81</v>
      </c>
      <c r="D379" s="4" t="s">
        <v>82</v>
      </c>
      <c r="E379" s="4" t="s">
        <v>2</v>
      </c>
      <c r="F379" s="6">
        <v>43974</v>
      </c>
      <c r="G379" s="4" t="s">
        <v>27</v>
      </c>
      <c r="H379" s="9">
        <v>15000</v>
      </c>
      <c r="I379" s="8" cm="1">
        <f t="array" ref="I379">IF(F379 &gt;= H379,F379 * commission, 0)</f>
        <v>4397.4000000000005</v>
      </c>
      <c r="J379" s="13">
        <f>Sales_Data[[#This Row],[Sales Amount]] - Sales_Data[[#This Row],[Targets]]</f>
        <v>28974</v>
      </c>
    </row>
    <row r="380" spans="1:10">
      <c r="A380" s="5">
        <v>44531</v>
      </c>
      <c r="B380" s="4" t="s">
        <v>47</v>
      </c>
      <c r="C380" s="4" t="s">
        <v>48</v>
      </c>
      <c r="D380" s="4" t="s">
        <v>49</v>
      </c>
      <c r="E380" s="4" t="s">
        <v>3</v>
      </c>
      <c r="F380" s="6">
        <v>8082.7999999999993</v>
      </c>
      <c r="G380" s="4" t="s">
        <v>27</v>
      </c>
      <c r="H380" s="9">
        <v>15000</v>
      </c>
      <c r="I380" s="8" cm="1">
        <f t="array" ref="I380">IF(F380 &gt;= H380,F380 * commission, 0)</f>
        <v>0</v>
      </c>
      <c r="J380" s="13">
        <f>Sales_Data[[#This Row],[Sales Amount]] - Sales_Data[[#This Row],[Targets]]</f>
        <v>-6917.2000000000007</v>
      </c>
    </row>
    <row r="381" spans="1:10">
      <c r="A381" s="5">
        <v>44531</v>
      </c>
      <c r="B381" s="4" t="s">
        <v>44</v>
      </c>
      <c r="C381" s="4" t="s">
        <v>45</v>
      </c>
      <c r="D381" s="4" t="s">
        <v>46</v>
      </c>
      <c r="E381" s="4" t="s">
        <v>3</v>
      </c>
      <c r="F381" s="6">
        <v>9826.4</v>
      </c>
      <c r="G381" s="4" t="s">
        <v>28</v>
      </c>
      <c r="H381" s="9">
        <v>15000</v>
      </c>
      <c r="I381" s="8" cm="1">
        <f t="array" ref="I381">IF(F381 &gt;= H381,F381 * commission, 0)</f>
        <v>0</v>
      </c>
      <c r="J381" s="13">
        <f>Sales_Data[[#This Row],[Sales Amount]] - Sales_Data[[#This Row],[Targets]]</f>
        <v>-5173.6000000000004</v>
      </c>
    </row>
    <row r="382" spans="1:10">
      <c r="A382" s="5">
        <v>44531</v>
      </c>
      <c r="B382" s="4" t="s">
        <v>71</v>
      </c>
      <c r="C382" s="4" t="s">
        <v>72</v>
      </c>
      <c r="D382" s="4" t="s">
        <v>73</v>
      </c>
      <c r="E382" s="4" t="s">
        <v>3</v>
      </c>
      <c r="F382" s="6">
        <v>12328</v>
      </c>
      <c r="G382" s="4" t="s">
        <v>22</v>
      </c>
      <c r="H382" s="9">
        <v>15000</v>
      </c>
      <c r="I382" s="8" cm="1">
        <f t="array" ref="I382">IF(F382 &gt;= H382,F382 * commission, 0)</f>
        <v>0</v>
      </c>
      <c r="J382" s="13">
        <f>Sales_Data[[#This Row],[Sales Amount]] - Sales_Data[[#This Row],[Targets]]</f>
        <v>-2672</v>
      </c>
    </row>
    <row r="383" spans="1:10">
      <c r="A383" s="5">
        <v>44531</v>
      </c>
      <c r="B383" s="4" t="s">
        <v>47</v>
      </c>
      <c r="C383" s="4" t="s">
        <v>48</v>
      </c>
      <c r="D383" s="4" t="s">
        <v>49</v>
      </c>
      <c r="E383" s="4" t="s">
        <v>3</v>
      </c>
      <c r="F383" s="6">
        <v>24544</v>
      </c>
      <c r="G383" s="4" t="s">
        <v>22</v>
      </c>
      <c r="H383" s="9">
        <v>15000</v>
      </c>
      <c r="I383" s="8" cm="1">
        <f t="array" ref="I383">IF(F383 &gt;= H383,F383 * commission, 0)</f>
        <v>2454.4</v>
      </c>
      <c r="J383" s="13">
        <f>Sales_Data[[#This Row],[Sales Amount]] - Sales_Data[[#This Row],[Targets]]</f>
        <v>9544</v>
      </c>
    </row>
    <row r="384" spans="1:10">
      <c r="A384" s="5">
        <v>44531</v>
      </c>
      <c r="B384" s="4" t="s">
        <v>41</v>
      </c>
      <c r="C384" s="4" t="s">
        <v>42</v>
      </c>
      <c r="D384" s="4" t="s">
        <v>43</v>
      </c>
      <c r="E384" s="4" t="s">
        <v>3</v>
      </c>
      <c r="F384" s="6">
        <v>27350.400000000001</v>
      </c>
      <c r="G384" s="4" t="s">
        <v>28</v>
      </c>
      <c r="H384" s="9">
        <v>15000</v>
      </c>
      <c r="I384" s="8" cm="1">
        <f t="array" ref="I384">IF(F384 &gt;= H384,F384 * commission, 0)</f>
        <v>2735.0400000000004</v>
      </c>
      <c r="J384" s="13">
        <f>Sales_Data[[#This Row],[Sales Amount]] - Sales_Data[[#This Row],[Targets]]</f>
        <v>12350.400000000001</v>
      </c>
    </row>
    <row r="385" spans="1:10">
      <c r="A385" s="5">
        <v>44531</v>
      </c>
      <c r="B385" s="4" t="s">
        <v>50</v>
      </c>
      <c r="C385" s="4" t="s">
        <v>51</v>
      </c>
      <c r="D385" s="4" t="s">
        <v>52</v>
      </c>
      <c r="E385" s="4" t="s">
        <v>3</v>
      </c>
      <c r="F385" s="6">
        <v>28845</v>
      </c>
      <c r="G385" s="4" t="s">
        <v>22</v>
      </c>
      <c r="H385" s="9">
        <v>15000</v>
      </c>
      <c r="I385" s="8" cm="1">
        <f t="array" ref="I385">IF(F385 &gt;= H385,F385 * commission, 0)</f>
        <v>2884.5</v>
      </c>
      <c r="J385" s="13">
        <f>Sales_Data[[#This Row],[Sales Amount]] - Sales_Data[[#This Row],[Targets]]</f>
        <v>13845</v>
      </c>
    </row>
    <row r="386" spans="1:10">
      <c r="A386" s="5">
        <v>44531</v>
      </c>
      <c r="B386" s="4" t="s">
        <v>41</v>
      </c>
      <c r="C386" s="4" t="s">
        <v>42</v>
      </c>
      <c r="D386" s="4" t="s">
        <v>43</v>
      </c>
      <c r="E386" s="4" t="s">
        <v>3</v>
      </c>
      <c r="F386" s="6">
        <v>43593.599999999999</v>
      </c>
      <c r="G386" s="4" t="s">
        <v>22</v>
      </c>
      <c r="H386" s="9">
        <v>15000</v>
      </c>
      <c r="I386" s="8" cm="1">
        <f t="array" ref="I386">IF(F386 &gt;= H386,F386 * commission, 0)</f>
        <v>4359.3599999999997</v>
      </c>
      <c r="J386" s="13">
        <f>Sales_Data[[#This Row],[Sales Amount]] - Sales_Data[[#This Row],[Targets]]</f>
        <v>28593.599999999999</v>
      </c>
    </row>
    <row r="387" spans="1:10">
      <c r="A387" s="5">
        <v>44531</v>
      </c>
      <c r="B387" s="4" t="s">
        <v>62</v>
      </c>
      <c r="C387" s="4" t="s">
        <v>63</v>
      </c>
      <c r="D387" s="4" t="s">
        <v>64</v>
      </c>
      <c r="E387" s="4" t="s">
        <v>5</v>
      </c>
      <c r="F387" s="6">
        <v>7009.2000000000007</v>
      </c>
      <c r="G387" s="4" t="s">
        <v>22</v>
      </c>
      <c r="H387" s="9">
        <v>15000</v>
      </c>
      <c r="I387" s="8" cm="1">
        <f t="array" ref="I387">IF(F387 &gt;= H387,F387 * commission, 0)</f>
        <v>0</v>
      </c>
      <c r="J387" s="13">
        <f>Sales_Data[[#This Row],[Sales Amount]] - Sales_Data[[#This Row],[Targets]]</f>
        <v>-7990.7999999999993</v>
      </c>
    </row>
    <row r="388" spans="1:10">
      <c r="A388" s="5">
        <v>44531</v>
      </c>
      <c r="B388" s="4" t="s">
        <v>59</v>
      </c>
      <c r="C388" s="4" t="s">
        <v>60</v>
      </c>
      <c r="D388" s="4" t="s">
        <v>61</v>
      </c>
      <c r="E388" s="4" t="s">
        <v>5</v>
      </c>
      <c r="F388" s="6">
        <v>7088.9</v>
      </c>
      <c r="G388" s="4" t="s">
        <v>27</v>
      </c>
      <c r="H388" s="9">
        <v>15000</v>
      </c>
      <c r="I388" s="8" cm="1">
        <f t="array" ref="I388">IF(F388 &gt;= H388,F388 * commission, 0)</f>
        <v>0</v>
      </c>
      <c r="J388" s="13">
        <f>Sales_Data[[#This Row],[Sales Amount]] - Sales_Data[[#This Row],[Targets]]</f>
        <v>-7911.1</v>
      </c>
    </row>
    <row r="389" spans="1:10">
      <c r="A389" s="5">
        <v>44531</v>
      </c>
      <c r="B389" s="4" t="s">
        <v>62</v>
      </c>
      <c r="C389" s="4" t="s">
        <v>63</v>
      </c>
      <c r="D389" s="4" t="s">
        <v>64</v>
      </c>
      <c r="E389" s="4" t="s">
        <v>5</v>
      </c>
      <c r="F389" s="6">
        <v>8095.5</v>
      </c>
      <c r="G389" s="4" t="s">
        <v>27</v>
      </c>
      <c r="H389" s="9">
        <v>15000</v>
      </c>
      <c r="I389" s="8" cm="1">
        <f t="array" ref="I389">IF(F389 &gt;= H389,F389 * commission, 0)</f>
        <v>0</v>
      </c>
      <c r="J389" s="13">
        <f>Sales_Data[[#This Row],[Sales Amount]] - Sales_Data[[#This Row],[Targets]]</f>
        <v>-6904.5</v>
      </c>
    </row>
    <row r="390" spans="1:10">
      <c r="A390" s="5">
        <v>44531</v>
      </c>
      <c r="B390" s="4" t="s">
        <v>53</v>
      </c>
      <c r="C390" s="4" t="s">
        <v>54</v>
      </c>
      <c r="D390" s="4" t="s">
        <v>55</v>
      </c>
      <c r="E390" s="4" t="s">
        <v>5</v>
      </c>
      <c r="F390" s="6">
        <v>8914.5</v>
      </c>
      <c r="G390" s="4" t="s">
        <v>27</v>
      </c>
      <c r="H390" s="9">
        <v>15000</v>
      </c>
      <c r="I390" s="8" cm="1">
        <f t="array" ref="I390">IF(F390 &gt;= H390,F390 * commission, 0)</f>
        <v>0</v>
      </c>
      <c r="J390" s="13">
        <f>Sales_Data[[#This Row],[Sales Amount]] - Sales_Data[[#This Row],[Targets]]</f>
        <v>-6085.5</v>
      </c>
    </row>
    <row r="391" spans="1:10">
      <c r="A391" s="3" t="s">
        <v>98</v>
      </c>
      <c r="B391" s="3"/>
      <c r="C391" s="3"/>
      <c r="D391" s="3"/>
      <c r="E391" s="3"/>
      <c r="F391" s="3">
        <f>SUBTOTAL(109,F2:F390)</f>
        <v>7286551.0000000009</v>
      </c>
      <c r="G391" s="3"/>
      <c r="H391" s="3"/>
      <c r="I391" s="8">
        <f>SUBTOTAL(109,I2:I390)</f>
        <v>572080.0399999998</v>
      </c>
      <c r="J391" s="13"/>
    </row>
    <row r="654" spans="1:7">
      <c r="A654" s="1" t="s">
        <v>83</v>
      </c>
      <c r="B654" s="2" t="s">
        <v>63</v>
      </c>
      <c r="E654" s="2" t="s">
        <v>5</v>
      </c>
      <c r="F654" s="7">
        <v>3637.21</v>
      </c>
      <c r="G654" s="2" t="s">
        <v>27</v>
      </c>
    </row>
    <row r="655" spans="1:7">
      <c r="A655" s="1" t="s">
        <v>83</v>
      </c>
      <c r="B655" s="2" t="s">
        <v>57</v>
      </c>
      <c r="E655" s="2" t="s">
        <v>5</v>
      </c>
      <c r="F655" s="7">
        <v>3918.6</v>
      </c>
      <c r="G655" s="2" t="s">
        <v>22</v>
      </c>
    </row>
    <row r="656" spans="1:7">
      <c r="A656" s="1" t="s">
        <v>83</v>
      </c>
      <c r="B656" s="2" t="s">
        <v>54</v>
      </c>
      <c r="E656" s="2" t="s">
        <v>5</v>
      </c>
      <c r="F656" s="7">
        <v>694.54</v>
      </c>
      <c r="G656" s="2" t="s">
        <v>28</v>
      </c>
    </row>
    <row r="657" spans="1:7">
      <c r="A657" s="1" t="s">
        <v>83</v>
      </c>
      <c r="B657" s="2" t="s">
        <v>63</v>
      </c>
      <c r="E657" s="2" t="s">
        <v>5</v>
      </c>
      <c r="F657" s="7">
        <v>3112.72</v>
      </c>
      <c r="G657" s="2" t="s">
        <v>28</v>
      </c>
    </row>
    <row r="658" spans="1:7">
      <c r="A658" s="1" t="s">
        <v>83</v>
      </c>
      <c r="B658" s="2" t="s">
        <v>54</v>
      </c>
      <c r="E658" s="2" t="s">
        <v>5</v>
      </c>
      <c r="F658" s="7">
        <v>1001.92</v>
      </c>
      <c r="G658" s="2" t="s">
        <v>28</v>
      </c>
    </row>
    <row r="659" spans="1:7">
      <c r="A659" s="1" t="s">
        <v>83</v>
      </c>
      <c r="B659" s="2" t="s">
        <v>60</v>
      </c>
      <c r="E659" s="2" t="s">
        <v>5</v>
      </c>
      <c r="F659" s="7">
        <v>1638.5600000000002</v>
      </c>
      <c r="G659" s="2" t="s">
        <v>27</v>
      </c>
    </row>
    <row r="660" spans="1:7">
      <c r="A660" s="1" t="s">
        <v>83</v>
      </c>
      <c r="B660" s="2" t="s">
        <v>57</v>
      </c>
      <c r="E660" s="2" t="s">
        <v>5</v>
      </c>
      <c r="F660" s="7">
        <v>1910.8</v>
      </c>
      <c r="G660" s="2" t="s">
        <v>22</v>
      </c>
    </row>
    <row r="661" spans="1:7">
      <c r="A661" s="1" t="s">
        <v>83</v>
      </c>
      <c r="B661" s="2" t="s">
        <v>54</v>
      </c>
      <c r="E661" s="2" t="s">
        <v>5</v>
      </c>
      <c r="F661" s="7">
        <v>765.82</v>
      </c>
      <c r="G661" s="2" t="s">
        <v>28</v>
      </c>
    </row>
    <row r="662" spans="1:7">
      <c r="A662" s="1" t="s">
        <v>83</v>
      </c>
      <c r="B662" s="2" t="s">
        <v>57</v>
      </c>
      <c r="E662" s="2" t="s">
        <v>5</v>
      </c>
      <c r="F662" s="7">
        <v>765.8599999999999</v>
      </c>
      <c r="G662" s="2" t="s">
        <v>22</v>
      </c>
    </row>
    <row r="663" spans="1:7">
      <c r="A663" s="1" t="s">
        <v>83</v>
      </c>
      <c r="B663" s="2" t="s">
        <v>63</v>
      </c>
      <c r="E663" s="2" t="s">
        <v>5</v>
      </c>
      <c r="F663" s="7">
        <v>4671.5999999999995</v>
      </c>
      <c r="G663" s="2" t="s">
        <v>27</v>
      </c>
    </row>
    <row r="664" spans="1:7">
      <c r="A664" s="1" t="s">
        <v>83</v>
      </c>
      <c r="B664" s="2" t="s">
        <v>54</v>
      </c>
      <c r="E664" s="2" t="s">
        <v>5</v>
      </c>
      <c r="F664" s="7">
        <v>1945.6</v>
      </c>
      <c r="G664" s="2" t="s">
        <v>27</v>
      </c>
    </row>
    <row r="665" spans="1:7">
      <c r="A665" s="1" t="s">
        <v>83</v>
      </c>
      <c r="B665" s="2" t="s">
        <v>57</v>
      </c>
      <c r="E665" s="2" t="s">
        <v>5</v>
      </c>
      <c r="F665" s="7">
        <v>1017.6</v>
      </c>
      <c r="G665" s="2" t="s">
        <v>22</v>
      </c>
    </row>
    <row r="666" spans="1:7">
      <c r="A666" s="1" t="s">
        <v>83</v>
      </c>
      <c r="B666" s="2" t="s">
        <v>60</v>
      </c>
      <c r="E666" s="2" t="s">
        <v>5</v>
      </c>
      <c r="F666" s="7">
        <v>909.86</v>
      </c>
      <c r="G666" s="2" t="s">
        <v>28</v>
      </c>
    </row>
    <row r="667" spans="1:7">
      <c r="A667" s="1" t="s">
        <v>84</v>
      </c>
      <c r="B667" s="2" t="s">
        <v>54</v>
      </c>
      <c r="E667" s="2" t="s">
        <v>5</v>
      </c>
      <c r="F667" s="7">
        <v>734.32</v>
      </c>
      <c r="G667" s="2" t="s">
        <v>22</v>
      </c>
    </row>
    <row r="668" spans="1:7">
      <c r="A668" s="1" t="s">
        <v>84</v>
      </c>
      <c r="B668" s="2" t="s">
        <v>54</v>
      </c>
      <c r="E668" s="2" t="s">
        <v>5</v>
      </c>
      <c r="F668" s="7">
        <v>2839.55</v>
      </c>
      <c r="G668" s="2" t="s">
        <v>28</v>
      </c>
    </row>
    <row r="669" spans="1:7">
      <c r="A669" s="1" t="s">
        <v>84</v>
      </c>
      <c r="B669" s="2" t="s">
        <v>54</v>
      </c>
      <c r="E669" s="2" t="s">
        <v>5</v>
      </c>
      <c r="F669" s="7">
        <v>453.09999999999997</v>
      </c>
      <c r="G669" s="2" t="s">
        <v>28</v>
      </c>
    </row>
    <row r="670" spans="1:7">
      <c r="A670" s="1" t="s">
        <v>84</v>
      </c>
      <c r="B670" s="2" t="s">
        <v>75</v>
      </c>
      <c r="E670" s="2" t="s">
        <v>5</v>
      </c>
      <c r="F670" s="7">
        <v>1774.8</v>
      </c>
      <c r="G670" s="2" t="s">
        <v>27</v>
      </c>
    </row>
    <row r="671" spans="1:7">
      <c r="A671" s="1" t="s">
        <v>84</v>
      </c>
      <c r="B671" s="2" t="s">
        <v>54</v>
      </c>
      <c r="E671" s="2" t="s">
        <v>5</v>
      </c>
      <c r="F671" s="7">
        <v>735.66</v>
      </c>
      <c r="G671" s="2" t="s">
        <v>27</v>
      </c>
    </row>
    <row r="672" spans="1:7">
      <c r="A672" s="1" t="s">
        <v>84</v>
      </c>
      <c r="B672" s="2" t="s">
        <v>75</v>
      </c>
      <c r="E672" s="2" t="s">
        <v>5</v>
      </c>
      <c r="F672" s="7">
        <v>675.18</v>
      </c>
      <c r="G672" s="2" t="s">
        <v>22</v>
      </c>
    </row>
    <row r="673" spans="1:7">
      <c r="A673" s="1" t="s">
        <v>84</v>
      </c>
      <c r="B673" s="2" t="s">
        <v>57</v>
      </c>
      <c r="E673" s="2" t="s">
        <v>5</v>
      </c>
      <c r="F673" s="7">
        <v>4142.95</v>
      </c>
      <c r="G673" s="2" t="s">
        <v>22</v>
      </c>
    </row>
    <row r="674" spans="1:7">
      <c r="A674" s="1" t="s">
        <v>85</v>
      </c>
      <c r="B674" s="2" t="s">
        <v>54</v>
      </c>
      <c r="E674" s="2" t="s">
        <v>5</v>
      </c>
      <c r="F674" s="7">
        <v>1045.1199999999999</v>
      </c>
      <c r="G674" s="2" t="s">
        <v>27</v>
      </c>
    </row>
    <row r="675" spans="1:7">
      <c r="A675" s="1" t="s">
        <v>85</v>
      </c>
      <c r="B675" s="2" t="s">
        <v>57</v>
      </c>
      <c r="E675" s="2" t="s">
        <v>5</v>
      </c>
      <c r="F675" s="7">
        <v>1432.95</v>
      </c>
      <c r="G675" s="2" t="s">
        <v>27</v>
      </c>
    </row>
    <row r="676" spans="1:7">
      <c r="A676" s="1" t="s">
        <v>85</v>
      </c>
      <c r="B676" s="2" t="s">
        <v>57</v>
      </c>
      <c r="E676" s="2" t="s">
        <v>5</v>
      </c>
      <c r="F676" s="7">
        <v>3140.7</v>
      </c>
      <c r="G676" s="2" t="s">
        <v>22</v>
      </c>
    </row>
    <row r="677" spans="1:7">
      <c r="A677" s="1" t="s">
        <v>85</v>
      </c>
      <c r="B677" s="2" t="s">
        <v>57</v>
      </c>
      <c r="E677" s="2" t="s">
        <v>5</v>
      </c>
      <c r="F677" s="7">
        <v>869.4</v>
      </c>
      <c r="G677" s="2" t="s">
        <v>27</v>
      </c>
    </row>
    <row r="678" spans="1:7">
      <c r="A678" s="1" t="s">
        <v>85</v>
      </c>
      <c r="B678" s="2" t="s">
        <v>60</v>
      </c>
      <c r="E678" s="2" t="s">
        <v>5</v>
      </c>
      <c r="F678" s="7">
        <v>3564.75</v>
      </c>
      <c r="G678" s="2" t="s">
        <v>28</v>
      </c>
    </row>
    <row r="679" spans="1:7">
      <c r="A679" s="1" t="s">
        <v>85</v>
      </c>
      <c r="B679" s="2" t="s">
        <v>57</v>
      </c>
      <c r="E679" s="2" t="s">
        <v>5</v>
      </c>
      <c r="F679" s="7">
        <v>911.6</v>
      </c>
      <c r="G679" s="2" t="s">
        <v>27</v>
      </c>
    </row>
    <row r="680" spans="1:7">
      <c r="A680" s="1" t="s">
        <v>85</v>
      </c>
      <c r="B680" s="2" t="s">
        <v>60</v>
      </c>
      <c r="E680" s="2" t="s">
        <v>5</v>
      </c>
      <c r="F680" s="7">
        <v>1011.0299999999999</v>
      </c>
      <c r="G680" s="2" t="s">
        <v>27</v>
      </c>
    </row>
    <row r="681" spans="1:7">
      <c r="A681" s="1" t="s">
        <v>85</v>
      </c>
      <c r="B681" s="2" t="s">
        <v>75</v>
      </c>
      <c r="E681" s="2" t="s">
        <v>5</v>
      </c>
      <c r="F681" s="7">
        <v>2795.68</v>
      </c>
      <c r="G681" s="2" t="s">
        <v>22</v>
      </c>
    </row>
    <row r="682" spans="1:7">
      <c r="A682" s="1" t="s">
        <v>85</v>
      </c>
      <c r="B682" s="2" t="s">
        <v>75</v>
      </c>
      <c r="E682" s="2" t="s">
        <v>5</v>
      </c>
      <c r="F682" s="7">
        <v>2767.09</v>
      </c>
      <c r="G682" s="2" t="s">
        <v>28</v>
      </c>
    </row>
    <row r="683" spans="1:7">
      <c r="A683" s="1" t="s">
        <v>85</v>
      </c>
      <c r="B683" s="2" t="s">
        <v>60</v>
      </c>
      <c r="E683" s="2" t="s">
        <v>5</v>
      </c>
      <c r="F683" s="7">
        <v>798.27</v>
      </c>
      <c r="G683" s="2" t="s">
        <v>28</v>
      </c>
    </row>
    <row r="684" spans="1:7">
      <c r="A684" s="1" t="s">
        <v>85</v>
      </c>
      <c r="B684" s="2" t="s">
        <v>75</v>
      </c>
      <c r="E684" s="2" t="s">
        <v>5</v>
      </c>
      <c r="F684" s="7">
        <v>2510.2399999999998</v>
      </c>
      <c r="G684" s="2" t="s">
        <v>22</v>
      </c>
    </row>
    <row r="685" spans="1:7">
      <c r="A685" s="1" t="s">
        <v>85</v>
      </c>
      <c r="B685" s="2" t="s">
        <v>60</v>
      </c>
      <c r="E685" s="2" t="s">
        <v>5</v>
      </c>
      <c r="F685" s="7">
        <v>3690.7200000000003</v>
      </c>
      <c r="G685" s="2" t="s">
        <v>22</v>
      </c>
    </row>
    <row r="686" spans="1:7">
      <c r="A686" s="1" t="s">
        <v>85</v>
      </c>
      <c r="B686" s="2" t="s">
        <v>63</v>
      </c>
      <c r="E686" s="2" t="s">
        <v>5</v>
      </c>
      <c r="F686" s="7">
        <v>670.89</v>
      </c>
      <c r="G686" s="2" t="s">
        <v>28</v>
      </c>
    </row>
    <row r="687" spans="1:7">
      <c r="A687" s="1" t="s">
        <v>85</v>
      </c>
      <c r="B687" s="2" t="s">
        <v>57</v>
      </c>
      <c r="E687" s="2" t="s">
        <v>5</v>
      </c>
      <c r="F687" s="7">
        <v>2012.8</v>
      </c>
      <c r="G687" s="2" t="s">
        <v>28</v>
      </c>
    </row>
    <row r="688" spans="1:7">
      <c r="A688" s="1" t="s">
        <v>85</v>
      </c>
      <c r="B688" s="2" t="s">
        <v>63</v>
      </c>
      <c r="E688" s="2" t="s">
        <v>5</v>
      </c>
      <c r="F688" s="7">
        <v>2116.7999999999997</v>
      </c>
      <c r="G688" s="2" t="s">
        <v>27</v>
      </c>
    </row>
    <row r="689" spans="1:7">
      <c r="A689" s="1" t="s">
        <v>85</v>
      </c>
      <c r="B689" s="2" t="s">
        <v>54</v>
      </c>
      <c r="E689" s="2" t="s">
        <v>5</v>
      </c>
      <c r="F689" s="7">
        <v>1158.04</v>
      </c>
      <c r="G689" s="2" t="s">
        <v>22</v>
      </c>
    </row>
    <row r="690" spans="1:7">
      <c r="A690" s="1" t="s">
        <v>86</v>
      </c>
      <c r="B690" s="2" t="s">
        <v>54</v>
      </c>
      <c r="E690" s="2" t="s">
        <v>5</v>
      </c>
      <c r="F690" s="7">
        <v>1171.6500000000001</v>
      </c>
      <c r="G690" s="2" t="s">
        <v>27</v>
      </c>
    </row>
    <row r="691" spans="1:7">
      <c r="A691" s="1" t="s">
        <v>86</v>
      </c>
      <c r="B691" s="2" t="s">
        <v>60</v>
      </c>
      <c r="E691" s="2" t="s">
        <v>5</v>
      </c>
      <c r="F691" s="7">
        <v>1696.8</v>
      </c>
      <c r="G691" s="2" t="s">
        <v>28</v>
      </c>
    </row>
    <row r="692" spans="1:7">
      <c r="A692" s="1" t="s">
        <v>86</v>
      </c>
      <c r="B692" s="2" t="s">
        <v>60</v>
      </c>
      <c r="E692" s="2" t="s">
        <v>5</v>
      </c>
      <c r="F692" s="7">
        <v>569.64</v>
      </c>
      <c r="G692" s="2" t="s">
        <v>27</v>
      </c>
    </row>
    <row r="693" spans="1:7">
      <c r="A693" s="1" t="s">
        <v>86</v>
      </c>
      <c r="B693" s="2" t="s">
        <v>60</v>
      </c>
      <c r="E693" s="2" t="s">
        <v>5</v>
      </c>
      <c r="F693" s="7">
        <v>1818.84</v>
      </c>
      <c r="G693" s="2" t="s">
        <v>22</v>
      </c>
    </row>
    <row r="694" spans="1:7">
      <c r="A694" s="1" t="s">
        <v>86</v>
      </c>
      <c r="B694" s="2" t="s">
        <v>57</v>
      </c>
      <c r="E694" s="2" t="s">
        <v>5</v>
      </c>
      <c r="F694" s="7">
        <v>1799.35</v>
      </c>
      <c r="G694" s="2" t="s">
        <v>27</v>
      </c>
    </row>
    <row r="695" spans="1:7">
      <c r="A695" s="1" t="s">
        <v>86</v>
      </c>
      <c r="B695" s="2" t="s">
        <v>54</v>
      </c>
      <c r="E695" s="2" t="s">
        <v>5</v>
      </c>
      <c r="F695" s="7">
        <v>1649.94</v>
      </c>
      <c r="G695" s="2" t="s">
        <v>22</v>
      </c>
    </row>
    <row r="696" spans="1:7">
      <c r="A696" s="1" t="s">
        <v>86</v>
      </c>
      <c r="B696" s="2" t="s">
        <v>63</v>
      </c>
      <c r="E696" s="2" t="s">
        <v>5</v>
      </c>
      <c r="F696" s="7">
        <v>1441.6</v>
      </c>
      <c r="G696" s="2" t="s">
        <v>28</v>
      </c>
    </row>
    <row r="697" spans="1:7">
      <c r="A697" s="1" t="s">
        <v>87</v>
      </c>
      <c r="B697" s="2" t="s">
        <v>63</v>
      </c>
      <c r="E697" s="2" t="s">
        <v>5</v>
      </c>
      <c r="F697" s="7">
        <v>900.48</v>
      </c>
      <c r="G697" s="2" t="s">
        <v>27</v>
      </c>
    </row>
    <row r="698" spans="1:7">
      <c r="A698" s="1" t="s">
        <v>87</v>
      </c>
      <c r="B698" s="2" t="s">
        <v>63</v>
      </c>
      <c r="E698" s="2" t="s">
        <v>5</v>
      </c>
      <c r="F698" s="7">
        <v>4224.91</v>
      </c>
      <c r="G698" s="2" t="s">
        <v>22</v>
      </c>
    </row>
    <row r="699" spans="1:7">
      <c r="A699" s="1" t="s">
        <v>87</v>
      </c>
      <c r="B699" s="2" t="s">
        <v>60</v>
      </c>
      <c r="E699" s="2" t="s">
        <v>5</v>
      </c>
      <c r="F699" s="7">
        <v>2399.7600000000002</v>
      </c>
      <c r="G699" s="2" t="s">
        <v>27</v>
      </c>
    </row>
    <row r="700" spans="1:7">
      <c r="A700" s="1" t="s">
        <v>87</v>
      </c>
      <c r="B700" s="2" t="s">
        <v>63</v>
      </c>
      <c r="E700" s="2" t="s">
        <v>5</v>
      </c>
      <c r="F700" s="7">
        <v>2791.64</v>
      </c>
      <c r="G700" s="2" t="s">
        <v>28</v>
      </c>
    </row>
    <row r="701" spans="1:7">
      <c r="A701" s="1" t="s">
        <v>87</v>
      </c>
      <c r="B701" s="2" t="s">
        <v>57</v>
      </c>
      <c r="E701" s="2" t="s">
        <v>5</v>
      </c>
      <c r="F701" s="7">
        <v>2071.7599999999998</v>
      </c>
      <c r="G701" s="2" t="s">
        <v>22</v>
      </c>
    </row>
    <row r="702" spans="1:7">
      <c r="A702" s="1" t="s">
        <v>87</v>
      </c>
      <c r="B702" s="2" t="s">
        <v>60</v>
      </c>
      <c r="E702" s="2" t="s">
        <v>5</v>
      </c>
      <c r="F702" s="7">
        <v>1983.64</v>
      </c>
      <c r="G702" s="2" t="s">
        <v>27</v>
      </c>
    </row>
    <row r="703" spans="1:7">
      <c r="A703" s="1" t="s">
        <v>87</v>
      </c>
      <c r="B703" s="2" t="s">
        <v>60</v>
      </c>
      <c r="E703" s="2" t="s">
        <v>5</v>
      </c>
      <c r="F703" s="7">
        <v>1961.75</v>
      </c>
      <c r="G703" s="2" t="s">
        <v>28</v>
      </c>
    </row>
    <row r="704" spans="1:7">
      <c r="A704" s="1" t="s">
        <v>87</v>
      </c>
      <c r="B704" s="2" t="s">
        <v>60</v>
      </c>
      <c r="E704" s="2" t="s">
        <v>5</v>
      </c>
      <c r="F704" s="7">
        <v>1882.64</v>
      </c>
      <c r="G704" s="2" t="s">
        <v>28</v>
      </c>
    </row>
    <row r="705" spans="1:7">
      <c r="A705" s="1" t="s">
        <v>87</v>
      </c>
      <c r="B705" s="2" t="s">
        <v>75</v>
      </c>
      <c r="E705" s="2" t="s">
        <v>5</v>
      </c>
      <c r="F705" s="7">
        <v>2336.4</v>
      </c>
      <c r="G705" s="2" t="s">
        <v>22</v>
      </c>
    </row>
    <row r="706" spans="1:7">
      <c r="A706" s="1" t="s">
        <v>88</v>
      </c>
      <c r="B706" s="2" t="s">
        <v>57</v>
      </c>
      <c r="E706" s="2" t="s">
        <v>5</v>
      </c>
      <c r="F706" s="7">
        <v>957.48</v>
      </c>
      <c r="G706" s="2" t="s">
        <v>22</v>
      </c>
    </row>
    <row r="707" spans="1:7">
      <c r="A707" s="1" t="s">
        <v>88</v>
      </c>
      <c r="B707" s="2" t="s">
        <v>75</v>
      </c>
      <c r="E707" s="2" t="s">
        <v>5</v>
      </c>
      <c r="F707" s="7">
        <v>1506.1200000000001</v>
      </c>
      <c r="G707" s="2" t="s">
        <v>22</v>
      </c>
    </row>
    <row r="708" spans="1:7">
      <c r="A708" s="1" t="s">
        <v>88</v>
      </c>
      <c r="B708" s="2" t="s">
        <v>75</v>
      </c>
      <c r="E708" s="2" t="s">
        <v>5</v>
      </c>
      <c r="F708" s="7">
        <v>3965.3900000000003</v>
      </c>
      <c r="G708" s="2" t="s">
        <v>28</v>
      </c>
    </row>
    <row r="709" spans="1:7">
      <c r="A709" s="1" t="s">
        <v>88</v>
      </c>
      <c r="B709" s="2" t="s">
        <v>63</v>
      </c>
      <c r="E709" s="2" t="s">
        <v>5</v>
      </c>
      <c r="F709" s="7">
        <v>3719.25</v>
      </c>
      <c r="G709" s="2" t="s">
        <v>28</v>
      </c>
    </row>
    <row r="710" spans="1:7">
      <c r="A710" s="1" t="s">
        <v>88</v>
      </c>
      <c r="B710" s="2" t="s">
        <v>57</v>
      </c>
      <c r="E710" s="2" t="s">
        <v>5</v>
      </c>
      <c r="F710" s="7">
        <v>1430.16</v>
      </c>
      <c r="G710" s="2" t="s">
        <v>22</v>
      </c>
    </row>
    <row r="711" spans="1:7">
      <c r="A711" s="1" t="s">
        <v>88</v>
      </c>
      <c r="B711" s="2" t="s">
        <v>60</v>
      </c>
      <c r="E711" s="2" t="s">
        <v>5</v>
      </c>
      <c r="F711" s="7">
        <v>1726.2</v>
      </c>
      <c r="G711" s="2" t="s">
        <v>22</v>
      </c>
    </row>
    <row r="712" spans="1:7">
      <c r="A712" s="1" t="s">
        <v>89</v>
      </c>
      <c r="B712" s="2" t="s">
        <v>60</v>
      </c>
      <c r="E712" s="2" t="s">
        <v>5</v>
      </c>
      <c r="F712" s="7">
        <v>533.28</v>
      </c>
      <c r="G712" s="2" t="s">
        <v>22</v>
      </c>
    </row>
    <row r="713" spans="1:7">
      <c r="A713" s="1" t="s">
        <v>89</v>
      </c>
      <c r="B713" s="2" t="s">
        <v>75</v>
      </c>
      <c r="E713" s="2" t="s">
        <v>5</v>
      </c>
      <c r="F713" s="7">
        <v>346.5</v>
      </c>
      <c r="G713" s="2" t="s">
        <v>22</v>
      </c>
    </row>
    <row r="714" spans="1:7">
      <c r="A714" s="1" t="s">
        <v>89</v>
      </c>
      <c r="B714" s="2" t="s">
        <v>57</v>
      </c>
      <c r="E714" s="2" t="s">
        <v>5</v>
      </c>
      <c r="F714" s="7">
        <v>806.56</v>
      </c>
      <c r="G714" s="2" t="s">
        <v>28</v>
      </c>
    </row>
    <row r="715" spans="1:7">
      <c r="A715" s="1" t="s">
        <v>89</v>
      </c>
      <c r="B715" s="2" t="s">
        <v>57</v>
      </c>
      <c r="E715" s="2" t="s">
        <v>5</v>
      </c>
      <c r="F715" s="7">
        <v>1154.3</v>
      </c>
      <c r="G715" s="2" t="s">
        <v>27</v>
      </c>
    </row>
    <row r="716" spans="1:7">
      <c r="A716" s="1" t="s">
        <v>89</v>
      </c>
      <c r="B716" s="2" t="s">
        <v>63</v>
      </c>
      <c r="E716" s="2" t="s">
        <v>5</v>
      </c>
      <c r="F716" s="7">
        <v>1115.55</v>
      </c>
      <c r="G716" s="2" t="s">
        <v>27</v>
      </c>
    </row>
    <row r="717" spans="1:7">
      <c r="A717" s="1" t="s">
        <v>89</v>
      </c>
      <c r="B717" s="2" t="s">
        <v>57</v>
      </c>
      <c r="E717" s="2" t="s">
        <v>5</v>
      </c>
      <c r="F717" s="7">
        <v>1064.8999999999999</v>
      </c>
      <c r="G717" s="2" t="s">
        <v>28</v>
      </c>
    </row>
    <row r="718" spans="1:7">
      <c r="A718" s="1" t="s">
        <v>89</v>
      </c>
      <c r="B718" s="2" t="s">
        <v>57</v>
      </c>
      <c r="E718" s="2" t="s">
        <v>5</v>
      </c>
      <c r="F718" s="7">
        <v>2439.5100000000002</v>
      </c>
      <c r="G718" s="2" t="s">
        <v>27</v>
      </c>
    </row>
    <row r="719" spans="1:7">
      <c r="A719" s="1" t="s">
        <v>89</v>
      </c>
      <c r="B719" s="2" t="s">
        <v>57</v>
      </c>
      <c r="E719" s="2" t="s">
        <v>5</v>
      </c>
      <c r="F719" s="7">
        <v>1563.32</v>
      </c>
      <c r="G719" s="2" t="s">
        <v>22</v>
      </c>
    </row>
    <row r="720" spans="1:7">
      <c r="A720" s="1" t="s">
        <v>89</v>
      </c>
      <c r="B720" s="2" t="s">
        <v>60</v>
      </c>
      <c r="E720" s="2" t="s">
        <v>5</v>
      </c>
      <c r="F720" s="7">
        <v>1067.94</v>
      </c>
      <c r="G720" s="2" t="s">
        <v>28</v>
      </c>
    </row>
    <row r="721" spans="1:7">
      <c r="A721" s="1" t="s">
        <v>89</v>
      </c>
      <c r="B721" s="2" t="s">
        <v>57</v>
      </c>
      <c r="E721" s="2" t="s">
        <v>5</v>
      </c>
      <c r="F721" s="7">
        <v>2086.8399999999997</v>
      </c>
      <c r="G721" s="2" t="s">
        <v>22</v>
      </c>
    </row>
    <row r="722" spans="1:7">
      <c r="A722" s="1" t="s">
        <v>89</v>
      </c>
      <c r="B722" s="2" t="s">
        <v>57</v>
      </c>
      <c r="E722" s="2" t="s">
        <v>5</v>
      </c>
      <c r="F722" s="7">
        <v>1006.72</v>
      </c>
      <c r="G722" s="2" t="s">
        <v>28</v>
      </c>
    </row>
    <row r="723" spans="1:7">
      <c r="A723" s="1" t="s">
        <v>90</v>
      </c>
      <c r="B723" s="2" t="s">
        <v>57</v>
      </c>
      <c r="E723" s="2" t="s">
        <v>5</v>
      </c>
      <c r="F723" s="7">
        <v>376.05</v>
      </c>
      <c r="G723" s="2" t="s">
        <v>27</v>
      </c>
    </row>
    <row r="724" spans="1:7">
      <c r="A724" s="1" t="s">
        <v>90</v>
      </c>
      <c r="B724" s="2" t="s">
        <v>60</v>
      </c>
      <c r="E724" s="2" t="s">
        <v>5</v>
      </c>
      <c r="F724" s="7">
        <v>3608.81</v>
      </c>
      <c r="G724" s="2" t="s">
        <v>28</v>
      </c>
    </row>
    <row r="725" spans="1:7">
      <c r="A725" s="1" t="s">
        <v>90</v>
      </c>
      <c r="B725" s="2" t="s">
        <v>57</v>
      </c>
      <c r="E725" s="2" t="s">
        <v>5</v>
      </c>
      <c r="F725" s="7">
        <v>969.76</v>
      </c>
      <c r="G725" s="2" t="s">
        <v>22</v>
      </c>
    </row>
    <row r="726" spans="1:7">
      <c r="A726" s="1" t="s">
        <v>90</v>
      </c>
      <c r="B726" s="2" t="s">
        <v>60</v>
      </c>
      <c r="E726" s="2" t="s">
        <v>5</v>
      </c>
      <c r="F726" s="7">
        <v>2247.79</v>
      </c>
      <c r="G726" s="2" t="s">
        <v>22</v>
      </c>
    </row>
    <row r="727" spans="1:7">
      <c r="A727" s="1" t="s">
        <v>90</v>
      </c>
      <c r="B727" s="2" t="s">
        <v>57</v>
      </c>
      <c r="E727" s="2" t="s">
        <v>5</v>
      </c>
      <c r="F727" s="7">
        <v>432.28000000000003</v>
      </c>
      <c r="G727" s="2" t="s">
        <v>28</v>
      </c>
    </row>
    <row r="728" spans="1:7">
      <c r="A728" s="1" t="s">
        <v>90</v>
      </c>
      <c r="B728" s="2" t="s">
        <v>54</v>
      </c>
      <c r="E728" s="2" t="s">
        <v>5</v>
      </c>
      <c r="F728" s="7">
        <v>4338.8100000000004</v>
      </c>
      <c r="G728" s="2" t="s">
        <v>22</v>
      </c>
    </row>
    <row r="729" spans="1:7">
      <c r="A729" s="1" t="s">
        <v>90</v>
      </c>
      <c r="B729" s="2" t="s">
        <v>63</v>
      </c>
      <c r="E729" s="2" t="s">
        <v>5</v>
      </c>
      <c r="F729" s="7">
        <v>1567.02</v>
      </c>
      <c r="G729" s="2" t="s">
        <v>28</v>
      </c>
    </row>
    <row r="730" spans="1:7">
      <c r="A730" s="1" t="s">
        <v>90</v>
      </c>
      <c r="B730" s="2" t="s">
        <v>57</v>
      </c>
      <c r="E730" s="2" t="s">
        <v>5</v>
      </c>
      <c r="F730" s="7">
        <v>1039.1699999999998</v>
      </c>
      <c r="G730" s="2" t="s">
        <v>28</v>
      </c>
    </row>
    <row r="731" spans="1:7">
      <c r="A731" s="1" t="s">
        <v>91</v>
      </c>
      <c r="B731" s="2" t="s">
        <v>75</v>
      </c>
      <c r="E731" s="2" t="s">
        <v>5</v>
      </c>
      <c r="F731" s="7">
        <v>771.4</v>
      </c>
      <c r="G731" s="2" t="s">
        <v>27</v>
      </c>
    </row>
    <row r="732" spans="1:7">
      <c r="A732" s="1" t="s">
        <v>91</v>
      </c>
      <c r="B732" s="2" t="s">
        <v>57</v>
      </c>
      <c r="E732" s="2" t="s">
        <v>5</v>
      </c>
      <c r="F732" s="7">
        <v>1636.39</v>
      </c>
      <c r="G732" s="2" t="s">
        <v>27</v>
      </c>
    </row>
    <row r="733" spans="1:7">
      <c r="A733" s="1" t="s">
        <v>91</v>
      </c>
      <c r="B733" s="2" t="s">
        <v>54</v>
      </c>
      <c r="E733" s="2" t="s">
        <v>5</v>
      </c>
      <c r="F733" s="7">
        <v>1515.2399999999998</v>
      </c>
      <c r="G733" s="2" t="s">
        <v>28</v>
      </c>
    </row>
    <row r="734" spans="1:7">
      <c r="A734" s="1" t="s">
        <v>92</v>
      </c>
      <c r="B734" s="2" t="s">
        <v>54</v>
      </c>
      <c r="E734" s="2" t="s">
        <v>5</v>
      </c>
      <c r="F734" s="7">
        <v>4142.07</v>
      </c>
      <c r="G734" s="2" t="s">
        <v>27</v>
      </c>
    </row>
    <row r="735" spans="1:7">
      <c r="A735" s="1" t="s">
        <v>92</v>
      </c>
      <c r="B735" s="2" t="s">
        <v>75</v>
      </c>
      <c r="E735" s="2" t="s">
        <v>5</v>
      </c>
      <c r="F735" s="7">
        <v>1069.47</v>
      </c>
      <c r="G735" s="2" t="s">
        <v>28</v>
      </c>
    </row>
    <row r="736" spans="1:7">
      <c r="A736" s="1" t="s">
        <v>92</v>
      </c>
      <c r="B736" s="2" t="s">
        <v>60</v>
      </c>
      <c r="E736" s="2" t="s">
        <v>5</v>
      </c>
      <c r="F736" s="7">
        <v>1059.52</v>
      </c>
      <c r="G736" s="2" t="s">
        <v>28</v>
      </c>
    </row>
    <row r="737" spans="1:7">
      <c r="A737" s="1" t="s">
        <v>92</v>
      </c>
      <c r="B737" s="2" t="s">
        <v>60</v>
      </c>
      <c r="E737" s="2" t="s">
        <v>5</v>
      </c>
      <c r="F737" s="7">
        <v>1423.54</v>
      </c>
      <c r="G737" s="2" t="s">
        <v>28</v>
      </c>
    </row>
    <row r="738" spans="1:7">
      <c r="A738" s="1" t="s">
        <v>92</v>
      </c>
      <c r="B738" s="2" t="s">
        <v>60</v>
      </c>
      <c r="E738" s="2" t="s">
        <v>5</v>
      </c>
      <c r="F738" s="7">
        <v>3653.02</v>
      </c>
      <c r="G738" s="2" t="s">
        <v>22</v>
      </c>
    </row>
    <row r="739" spans="1:7">
      <c r="A739" s="1" t="s">
        <v>92</v>
      </c>
      <c r="B739" s="2" t="s">
        <v>75</v>
      </c>
      <c r="E739" s="2" t="s">
        <v>5</v>
      </c>
      <c r="F739" s="7">
        <v>719.59999999999991</v>
      </c>
      <c r="G739" s="2" t="s">
        <v>22</v>
      </c>
    </row>
    <row r="740" spans="1:7">
      <c r="A740" s="1" t="s">
        <v>92</v>
      </c>
      <c r="B740" s="2" t="s">
        <v>54</v>
      </c>
      <c r="E740" s="2" t="s">
        <v>5</v>
      </c>
      <c r="F740" s="7">
        <v>299.71999999999997</v>
      </c>
      <c r="G740" s="2" t="s">
        <v>27</v>
      </c>
    </row>
    <row r="741" spans="1:7">
      <c r="A741" s="1" t="s">
        <v>92</v>
      </c>
      <c r="B741" s="2" t="s">
        <v>63</v>
      </c>
      <c r="E741" s="2" t="s">
        <v>5</v>
      </c>
      <c r="F741" s="7">
        <v>3689.62</v>
      </c>
      <c r="G741" s="2" t="s">
        <v>28</v>
      </c>
    </row>
    <row r="742" spans="1:7">
      <c r="A742" s="1" t="s">
        <v>93</v>
      </c>
      <c r="B742" s="2" t="s">
        <v>54</v>
      </c>
      <c r="E742" s="2" t="s">
        <v>5</v>
      </c>
      <c r="F742" s="7">
        <v>1680.64</v>
      </c>
      <c r="G742" s="2" t="s">
        <v>27</v>
      </c>
    </row>
    <row r="743" spans="1:7">
      <c r="A743" s="1" t="s">
        <v>93</v>
      </c>
      <c r="B743" s="2" t="s">
        <v>60</v>
      </c>
      <c r="E743" s="2" t="s">
        <v>5</v>
      </c>
      <c r="F743" s="7">
        <v>690</v>
      </c>
      <c r="G743" s="2" t="s">
        <v>22</v>
      </c>
    </row>
    <row r="744" spans="1:7">
      <c r="A744" s="1" t="s">
        <v>93</v>
      </c>
      <c r="B744" s="2" t="s">
        <v>57</v>
      </c>
      <c r="E744" s="2" t="s">
        <v>5</v>
      </c>
      <c r="F744" s="7">
        <v>1430.29</v>
      </c>
      <c r="G744" s="2" t="s">
        <v>27</v>
      </c>
    </row>
    <row r="745" spans="1:7">
      <c r="A745" s="1" t="s">
        <v>93</v>
      </c>
      <c r="B745" s="2" t="s">
        <v>75</v>
      </c>
      <c r="E745" s="2" t="s">
        <v>5</v>
      </c>
      <c r="F745" s="7">
        <v>2079.7200000000003</v>
      </c>
      <c r="G745" s="2" t="s">
        <v>22</v>
      </c>
    </row>
    <row r="746" spans="1:7">
      <c r="A746" s="1" t="s">
        <v>93</v>
      </c>
      <c r="B746" s="2" t="s">
        <v>63</v>
      </c>
      <c r="E746" s="2" t="s">
        <v>5</v>
      </c>
      <c r="F746" s="7">
        <v>2686.6</v>
      </c>
      <c r="G746" s="2" t="s">
        <v>28</v>
      </c>
    </row>
    <row r="747" spans="1:7">
      <c r="A747" s="1" t="s">
        <v>93</v>
      </c>
      <c r="B747" s="2" t="s">
        <v>63</v>
      </c>
      <c r="E747" s="2" t="s">
        <v>5</v>
      </c>
      <c r="F747" s="7">
        <v>968.3</v>
      </c>
      <c r="G747" s="2" t="s">
        <v>28</v>
      </c>
    </row>
    <row r="748" spans="1:7">
      <c r="A748" s="1" t="s">
        <v>94</v>
      </c>
      <c r="B748" s="2" t="s">
        <v>63</v>
      </c>
      <c r="E748" s="2" t="s">
        <v>5</v>
      </c>
      <c r="F748" s="7">
        <v>700.92000000000007</v>
      </c>
      <c r="G748" s="2" t="s">
        <v>22</v>
      </c>
    </row>
    <row r="749" spans="1:7">
      <c r="A749" s="1" t="s">
        <v>94</v>
      </c>
      <c r="B749" s="2" t="s">
        <v>54</v>
      </c>
      <c r="E749" s="2" t="s">
        <v>5</v>
      </c>
      <c r="F749" s="7">
        <v>891.44999999999993</v>
      </c>
      <c r="G749" s="2" t="s">
        <v>27</v>
      </c>
    </row>
    <row r="750" spans="1:7">
      <c r="A750" s="1" t="s">
        <v>94</v>
      </c>
      <c r="B750" s="2" t="s">
        <v>60</v>
      </c>
      <c r="E750" s="2" t="s">
        <v>5</v>
      </c>
      <c r="F750" s="7">
        <v>708.89</v>
      </c>
      <c r="G750" s="2" t="s">
        <v>27</v>
      </c>
    </row>
    <row r="751" spans="1:7">
      <c r="A751" s="1" t="s">
        <v>94</v>
      </c>
      <c r="B751" s="2" t="s">
        <v>63</v>
      </c>
      <c r="E751" s="2" t="s">
        <v>5</v>
      </c>
      <c r="F751" s="7">
        <v>809.55</v>
      </c>
      <c r="G751" s="2" t="s">
        <v>27</v>
      </c>
    </row>
  </sheetData>
  <pageMargins left="0.7" right="0.7" top="0.75" bottom="0.75" header="0.3" footer="0.3"/>
  <pageSetup paperSize="9" orientation="portrait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56C1E-BDF6-4BA5-8DEA-C88312FC8D8B}">
  <sheetPr>
    <tabColor rgb="FF92D050"/>
  </sheetPr>
  <dimension ref="A1:C15"/>
  <sheetViews>
    <sheetView tabSelected="1" workbookViewId="0"/>
  </sheetViews>
  <sheetFormatPr defaultRowHeight="15"/>
  <cols>
    <col min="1" max="1" width="13.28515625" bestFit="1" customWidth="1"/>
    <col min="2" max="2" width="13.140625" bestFit="1" customWidth="1"/>
    <col min="3" max="3" width="14.7109375" bestFit="1" customWidth="1"/>
  </cols>
  <sheetData>
    <row r="1" spans="1:3">
      <c r="A1" s="14" t="s">
        <v>16</v>
      </c>
      <c r="B1" t="s">
        <v>100</v>
      </c>
    </row>
    <row r="3" spans="1:3">
      <c r="A3" s="14" t="s">
        <v>10</v>
      </c>
      <c r="B3" t="s">
        <v>101</v>
      </c>
      <c r="C3" t="s">
        <v>102</v>
      </c>
    </row>
    <row r="4" spans="1:3">
      <c r="A4" s="15">
        <v>44197</v>
      </c>
      <c r="B4" s="16">
        <v>47646.6</v>
      </c>
      <c r="C4" s="17">
        <v>0.12934623503657242</v>
      </c>
    </row>
    <row r="5" spans="1:3">
      <c r="A5" s="15">
        <v>44228</v>
      </c>
      <c r="B5" s="16">
        <v>21169.599999999999</v>
      </c>
      <c r="C5" s="17">
        <v>5.7469117570408457E-2</v>
      </c>
    </row>
    <row r="6" spans="1:3">
      <c r="A6" s="15">
        <v>44256</v>
      </c>
      <c r="B6" s="16">
        <v>39065.899999999994</v>
      </c>
      <c r="C6" s="17">
        <v>0.10605220694268287</v>
      </c>
    </row>
    <row r="7" spans="1:3">
      <c r="A7" s="15">
        <v>44287</v>
      </c>
      <c r="B7" s="16">
        <v>15919.7</v>
      </c>
      <c r="C7" s="17">
        <v>4.3217212936740967E-2</v>
      </c>
    </row>
    <row r="8" spans="1:3">
      <c r="A8" s="15">
        <v>44317</v>
      </c>
      <c r="B8" s="16">
        <v>57746.6</v>
      </c>
      <c r="C8" s="17">
        <v>0.15676470715985891</v>
      </c>
    </row>
    <row r="9" spans="1:3">
      <c r="A9" s="15">
        <v>44348</v>
      </c>
      <c r="B9" s="16">
        <v>2070.2999999999997</v>
      </c>
      <c r="C9" s="17">
        <v>5.620243845231682E-3</v>
      </c>
    </row>
    <row r="10" spans="1:3">
      <c r="A10" s="15">
        <v>44378</v>
      </c>
      <c r="B10" s="16">
        <v>21457.800000000003</v>
      </c>
      <c r="C10" s="17">
        <v>5.8251494170995712E-2</v>
      </c>
    </row>
    <row r="11" spans="1:3">
      <c r="A11" s="15">
        <v>44440</v>
      </c>
      <c r="B11" s="16">
        <v>34461.199999999997</v>
      </c>
      <c r="C11" s="17">
        <v>9.3551826884653452E-2</v>
      </c>
    </row>
    <row r="12" spans="1:3">
      <c r="A12" s="15">
        <v>44470</v>
      </c>
      <c r="B12" s="16">
        <v>21485.200000000001</v>
      </c>
      <c r="C12" s="17">
        <v>5.8325876956755909E-2</v>
      </c>
    </row>
    <row r="13" spans="1:3">
      <c r="A13" s="15">
        <v>44501</v>
      </c>
      <c r="B13" s="16">
        <v>8810.9</v>
      </c>
      <c r="C13" s="17">
        <v>2.3918952082283645E-2</v>
      </c>
    </row>
    <row r="14" spans="1:3">
      <c r="A14" s="15">
        <v>44531</v>
      </c>
      <c r="B14" s="16">
        <v>98531</v>
      </c>
      <c r="C14" s="17">
        <v>0.26748212641381586</v>
      </c>
    </row>
    <row r="15" spans="1:3">
      <c r="A15" s="15" t="s">
        <v>103</v>
      </c>
      <c r="B15" s="16">
        <v>368364.80000000005</v>
      </c>
      <c r="C15" s="17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8AA2-4491-43B8-97CF-6B4E17120EB9}">
  <dimension ref="A1:E21"/>
  <sheetViews>
    <sheetView topLeftCell="C1" workbookViewId="0"/>
  </sheetViews>
  <sheetFormatPr defaultRowHeight="15"/>
  <cols>
    <col min="1" max="1" width="20.7109375" hidden="1" customWidth="1"/>
    <col min="2" max="2" width="11.42578125" hidden="1" customWidth="1"/>
    <col min="3" max="5" width="11.42578125" customWidth="1"/>
  </cols>
  <sheetData>
    <row r="1" spans="1:5">
      <c r="A1" t="s">
        <v>104</v>
      </c>
      <c r="B1" t="s">
        <v>105</v>
      </c>
      <c r="C1" t="s">
        <v>12</v>
      </c>
      <c r="D1" t="s">
        <v>13</v>
      </c>
      <c r="E1" t="s">
        <v>106</v>
      </c>
    </row>
    <row r="2" spans="1:5">
      <c r="A2" t="s">
        <v>107</v>
      </c>
      <c r="B2" t="s">
        <v>108</v>
      </c>
      <c r="C2" s="11" t="s">
        <v>109</v>
      </c>
      <c r="D2" t="s">
        <v>110</v>
      </c>
      <c r="E2" t="str">
        <f>LEFT(B2, 2)</f>
        <v>NE</v>
      </c>
    </row>
    <row r="3" spans="1:5">
      <c r="A3" t="s">
        <v>111</v>
      </c>
      <c r="B3" t="s">
        <v>112</v>
      </c>
      <c r="C3" s="11" t="s">
        <v>113</v>
      </c>
      <c r="D3" t="s">
        <v>114</v>
      </c>
      <c r="E3" t="str">
        <f t="shared" ref="E3:E21" si="0">LEFT(B3, 2)</f>
        <v>NE</v>
      </c>
    </row>
    <row r="4" spans="1:5">
      <c r="A4" t="s">
        <v>115</v>
      </c>
      <c r="B4" t="s">
        <v>116</v>
      </c>
      <c r="C4" s="11" t="s">
        <v>117</v>
      </c>
      <c r="D4" t="s">
        <v>118</v>
      </c>
      <c r="E4" t="str">
        <f t="shared" si="0"/>
        <v>NE</v>
      </c>
    </row>
    <row r="5" spans="1:5">
      <c r="A5" t="s">
        <v>119</v>
      </c>
      <c r="B5" t="s">
        <v>120</v>
      </c>
      <c r="C5" s="11" t="s">
        <v>121</v>
      </c>
      <c r="D5" t="s">
        <v>122</v>
      </c>
      <c r="E5" t="str">
        <f t="shared" si="0"/>
        <v>NE</v>
      </c>
    </row>
    <row r="6" spans="1:5">
      <c r="A6" t="s">
        <v>123</v>
      </c>
      <c r="B6" t="s">
        <v>124</v>
      </c>
      <c r="C6" s="11" t="s">
        <v>125</v>
      </c>
      <c r="D6" t="s">
        <v>126</v>
      </c>
      <c r="E6" t="str">
        <f t="shared" si="0"/>
        <v>NE</v>
      </c>
    </row>
    <row r="7" spans="1:5">
      <c r="A7" t="s">
        <v>127</v>
      </c>
      <c r="B7" t="s">
        <v>128</v>
      </c>
      <c r="C7" s="11" t="s">
        <v>129</v>
      </c>
      <c r="D7" t="s">
        <v>130</v>
      </c>
      <c r="E7" t="str">
        <f t="shared" si="0"/>
        <v>NW</v>
      </c>
    </row>
    <row r="8" spans="1:5">
      <c r="A8" t="s">
        <v>131</v>
      </c>
      <c r="B8" t="s">
        <v>132</v>
      </c>
      <c r="C8" s="11" t="s">
        <v>133</v>
      </c>
      <c r="D8" t="s">
        <v>134</v>
      </c>
      <c r="E8" t="str">
        <f t="shared" si="0"/>
        <v>NW</v>
      </c>
    </row>
    <row r="9" spans="1:5">
      <c r="A9" t="s">
        <v>135</v>
      </c>
      <c r="B9" t="s">
        <v>136</v>
      </c>
      <c r="C9" s="11" t="s">
        <v>137</v>
      </c>
      <c r="D9" t="s">
        <v>138</v>
      </c>
      <c r="E9" t="str">
        <f t="shared" si="0"/>
        <v>NW</v>
      </c>
    </row>
    <row r="10" spans="1:5">
      <c r="A10" t="s">
        <v>139</v>
      </c>
      <c r="B10" t="s">
        <v>140</v>
      </c>
      <c r="C10" s="11" t="s">
        <v>141</v>
      </c>
      <c r="D10" t="s">
        <v>142</v>
      </c>
      <c r="E10" t="str">
        <f t="shared" si="0"/>
        <v>NW</v>
      </c>
    </row>
    <row r="11" spans="1:5">
      <c r="A11" t="s">
        <v>143</v>
      </c>
      <c r="B11" t="s">
        <v>144</v>
      </c>
      <c r="C11" s="11" t="s">
        <v>145</v>
      </c>
      <c r="D11" t="s">
        <v>146</v>
      </c>
      <c r="E11" t="str">
        <f t="shared" si="0"/>
        <v>NW</v>
      </c>
    </row>
    <row r="12" spans="1:5">
      <c r="A12" t="s">
        <v>147</v>
      </c>
      <c r="B12" t="s">
        <v>148</v>
      </c>
      <c r="C12" s="11" t="s">
        <v>149</v>
      </c>
      <c r="D12" t="s">
        <v>150</v>
      </c>
      <c r="E12" t="str">
        <f t="shared" si="0"/>
        <v>SE</v>
      </c>
    </row>
    <row r="13" spans="1:5">
      <c r="A13" t="s">
        <v>151</v>
      </c>
      <c r="B13" t="s">
        <v>152</v>
      </c>
      <c r="C13" s="11" t="s">
        <v>153</v>
      </c>
      <c r="D13" t="s">
        <v>154</v>
      </c>
      <c r="E13" t="str">
        <f t="shared" si="0"/>
        <v>SE</v>
      </c>
    </row>
    <row r="14" spans="1:5">
      <c r="A14" t="s">
        <v>155</v>
      </c>
      <c r="B14" t="s">
        <v>156</v>
      </c>
      <c r="C14" s="11" t="s">
        <v>157</v>
      </c>
      <c r="D14" t="s">
        <v>158</v>
      </c>
      <c r="E14" t="str">
        <f t="shared" si="0"/>
        <v>SE</v>
      </c>
    </row>
    <row r="15" spans="1:5">
      <c r="A15" t="s">
        <v>159</v>
      </c>
      <c r="B15" t="s">
        <v>160</v>
      </c>
      <c r="C15" s="11" t="s">
        <v>161</v>
      </c>
      <c r="D15" t="s">
        <v>162</v>
      </c>
      <c r="E15" t="str">
        <f t="shared" si="0"/>
        <v>SE</v>
      </c>
    </row>
    <row r="16" spans="1:5">
      <c r="A16" t="s">
        <v>163</v>
      </c>
      <c r="B16" t="s">
        <v>164</v>
      </c>
      <c r="C16" s="11" t="s">
        <v>165</v>
      </c>
      <c r="D16" t="s">
        <v>166</v>
      </c>
      <c r="E16" t="str">
        <f t="shared" si="0"/>
        <v>SE</v>
      </c>
    </row>
    <row r="17" spans="1:5">
      <c r="A17" t="s">
        <v>167</v>
      </c>
      <c r="B17" t="s">
        <v>168</v>
      </c>
      <c r="C17" s="11" t="s">
        <v>169</v>
      </c>
      <c r="D17" t="s">
        <v>170</v>
      </c>
      <c r="E17" t="str">
        <f t="shared" si="0"/>
        <v>SW</v>
      </c>
    </row>
    <row r="18" spans="1:5">
      <c r="A18" t="s">
        <v>171</v>
      </c>
      <c r="B18" t="s">
        <v>172</v>
      </c>
      <c r="C18" s="11" t="s">
        <v>173</v>
      </c>
      <c r="D18" t="s">
        <v>174</v>
      </c>
      <c r="E18" t="str">
        <f t="shared" si="0"/>
        <v>SW</v>
      </c>
    </row>
    <row r="19" spans="1:5">
      <c r="A19" t="s">
        <v>175</v>
      </c>
      <c r="B19" t="s">
        <v>176</v>
      </c>
      <c r="C19" s="11" t="s">
        <v>177</v>
      </c>
      <c r="D19" t="s">
        <v>178</v>
      </c>
      <c r="E19" t="str">
        <f t="shared" si="0"/>
        <v>SW</v>
      </c>
    </row>
    <row r="20" spans="1:5">
      <c r="A20" t="s">
        <v>179</v>
      </c>
      <c r="B20" t="s">
        <v>180</v>
      </c>
      <c r="C20" s="11" t="s">
        <v>181</v>
      </c>
      <c r="D20" t="s">
        <v>182</v>
      </c>
      <c r="E20" t="str">
        <f t="shared" si="0"/>
        <v>SW</v>
      </c>
    </row>
    <row r="21" spans="1:5">
      <c r="A21" t="s">
        <v>183</v>
      </c>
      <c r="B21" t="s">
        <v>184</v>
      </c>
      <c r="C21" s="11" t="s">
        <v>185</v>
      </c>
      <c r="D21" t="s">
        <v>186</v>
      </c>
      <c r="E21" t="str">
        <f t="shared" si="0"/>
        <v>SW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CD5F422E388419BB522F4435A2991" ma:contentTypeVersion="12" ma:contentTypeDescription="Create a new document." ma:contentTypeScope="" ma:versionID="e5c10cafc2c37c7f469fd87ac61c85e7">
  <xsd:schema xmlns:xsd="http://www.w3.org/2001/XMLSchema" xmlns:xs="http://www.w3.org/2001/XMLSchema" xmlns:p="http://schemas.microsoft.com/office/2006/metadata/properties" xmlns:ns2="e126d1a7-de2c-4ae3-80af-dc9ec7d9558b" xmlns:ns3="16c367a0-1ebe-4645-bffe-e50f3117a967" targetNamespace="http://schemas.microsoft.com/office/2006/metadata/properties" ma:root="true" ma:fieldsID="64cf9e92a51322bbdec604bdb87428eb" ns2:_="" ns3:_="">
    <xsd:import namespace="e126d1a7-de2c-4ae3-80af-dc9ec7d9558b"/>
    <xsd:import namespace="16c367a0-1ebe-4645-bffe-e50f3117a9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26d1a7-de2c-4ae3-80af-dc9ec7d955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367a0-1ebe-4645-bffe-e50f3117a96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2D493F-1B21-493B-8C3B-146983EC3056}"/>
</file>

<file path=customXml/itemProps2.xml><?xml version="1.0" encoding="utf-8"?>
<ds:datastoreItem xmlns:ds="http://schemas.openxmlformats.org/officeDocument/2006/customXml" ds:itemID="{CD05788C-CCE3-43E2-B02F-684784C71FEE}"/>
</file>

<file path=customXml/itemProps3.xml><?xml version="1.0" encoding="utf-8"?>
<ds:datastoreItem xmlns:ds="http://schemas.openxmlformats.org/officeDocument/2006/customXml" ds:itemID="{4542A510-48B6-43F9-AAB2-E3FA724FC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2021-11-26T10:50:27Z</dcterms:created>
  <dcterms:modified xsi:type="dcterms:W3CDTF">2026-06-19T10:37:25Z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0x0101000E1CD5F422E388419BB522F4435A2991</vt:lpwstr>
  </property>
</Properties>
</file>